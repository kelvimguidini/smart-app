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mires.klein\Downloads\"/>
    </mc:Choice>
  </mc:AlternateContent>
  <xr:revisionPtr revIDLastSave="0" documentId="13_ncr:1_{E40452F0-5CB8-419A-9F3A-E80039423F3C}" xr6:coauthVersionLast="47" xr6:coauthVersionMax="47" xr10:uidLastSave="{00000000-0000-0000-0000-000000000000}"/>
  <bookViews>
    <workbookView xWindow="-51720" yWindow="-3165" windowWidth="51840" windowHeight="21120" xr2:uid="{00000000-000D-0000-FFFF-FFFF00000000}"/>
  </bookViews>
  <sheets>
    <sheet name="AÉREO REGULAR" sheetId="8" r:id="rId1"/>
    <sheet name="PROPOSTA" sheetId="10" r:id="rId2"/>
    <sheet name="FICHA DE VOO" sheetId="1" r:id="rId3"/>
    <sheet name="DADOS" sheetId="9" state="hidden" r:id="rId4"/>
  </sheets>
  <externalReferences>
    <externalReference r:id="rId5"/>
  </externalReferences>
  <definedNames>
    <definedName name="_xlcn.WorksheetConnection_AÉREOREGULARU8Y18" hidden="1">'AÉREO REGULAR'!$U$9:$X$19</definedName>
    <definedName name="_xlcn.WorksheetConnection_Planilhavoosindividuais.xlsxTabela1" hidden="1">[1]!Tabela1</definedName>
    <definedName name="_xlnm.Print_Area" localSheetId="1">PROPOSTA!$A$1:$I$40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AÉREO REGULAR!$U$8:$Y$18"/>
          <x15:modelTable id="Tabela1" name="Tabela1" connection="WorksheetConnection_Planilha voos individuais.xlsx!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0" i="8" l="1"/>
  <c r="H31" i="10"/>
  <c r="N18" i="8"/>
  <c r="N19" i="8" s="1"/>
  <c r="N15" i="8"/>
  <c r="O153" i="8"/>
  <c r="O147" i="8"/>
  <c r="N153" i="8"/>
  <c r="N154" i="8" s="1"/>
  <c r="N150" i="8"/>
  <c r="O138" i="8"/>
  <c r="N138" i="8"/>
  <c r="O132" i="8"/>
  <c r="O123" i="8"/>
  <c r="O117" i="8"/>
  <c r="N123" i="8"/>
  <c r="N120" i="8"/>
  <c r="O108" i="8"/>
  <c r="O102" i="8"/>
  <c r="N108" i="8"/>
  <c r="N105" i="8"/>
  <c r="O93" i="8"/>
  <c r="O87" i="8"/>
  <c r="N93" i="8"/>
  <c r="N90" i="8"/>
  <c r="O78" i="8"/>
  <c r="O72" i="8"/>
  <c r="N78" i="8"/>
  <c r="N75" i="8"/>
  <c r="O63" i="8"/>
  <c r="N63" i="8"/>
  <c r="N60" i="8"/>
  <c r="O57" i="8"/>
  <c r="O48" i="8"/>
  <c r="N48" i="8"/>
  <c r="O42" i="8"/>
  <c r="O27" i="8"/>
  <c r="O12" i="8"/>
  <c r="O9" i="8"/>
  <c r="A31" i="10"/>
  <c r="O150" i="8"/>
  <c r="O135" i="8"/>
  <c r="N135" i="8"/>
  <c r="O120" i="8"/>
  <c r="O105" i="8"/>
  <c r="Q108" i="8" s="1"/>
  <c r="O90" i="8"/>
  <c r="Q93" i="8" s="1"/>
  <c r="O75" i="8"/>
  <c r="Q78" i="8" s="1"/>
  <c r="O69" i="8"/>
  <c r="O60" i="8"/>
  <c r="O54" i="8"/>
  <c r="N45" i="8"/>
  <c r="O45" i="8"/>
  <c r="N30" i="8"/>
  <c r="N33" i="8" s="1"/>
  <c r="O144" i="8"/>
  <c r="O129" i="8"/>
  <c r="O114" i="8"/>
  <c r="O99" i="8"/>
  <c r="O84" i="8"/>
  <c r="O39" i="8"/>
  <c r="O24" i="8"/>
  <c r="O30" i="8" s="1"/>
  <c r="O33" i="8" s="1"/>
  <c r="B7" i="10"/>
  <c r="E15" i="10"/>
  <c r="E10" i="10"/>
  <c r="F31" i="10"/>
  <c r="I12" i="10"/>
  <c r="H12" i="10"/>
  <c r="G12" i="10"/>
  <c r="F12" i="10"/>
  <c r="F13" i="10"/>
  <c r="F14" i="10"/>
  <c r="E12" i="10"/>
  <c r="D12" i="10"/>
  <c r="B12" i="10"/>
  <c r="I7" i="10"/>
  <c r="H7" i="10"/>
  <c r="G7" i="10"/>
  <c r="F7" i="10"/>
  <c r="E7" i="10"/>
  <c r="D7" i="10"/>
  <c r="N34" i="8"/>
  <c r="L34" i="8" s="1"/>
  <c r="A2" i="10"/>
  <c r="A93" i="1"/>
  <c r="A9" i="1"/>
  <c r="A10" i="1"/>
  <c r="A3" i="1"/>
  <c r="A84" i="1"/>
  <c r="A85" i="1"/>
  <c r="A86" i="1"/>
  <c r="A87" i="1"/>
  <c r="A88" i="1"/>
  <c r="A89" i="1"/>
  <c r="A90" i="1"/>
  <c r="A91" i="1"/>
  <c r="A92" i="1"/>
  <c r="A94" i="1"/>
  <c r="A95" i="1"/>
  <c r="A96" i="1"/>
  <c r="A97" i="1"/>
  <c r="A98" i="1"/>
  <c r="A99" i="1"/>
  <c r="A100" i="1"/>
  <c r="A101" i="1"/>
  <c r="A102" i="1"/>
  <c r="A83" i="1"/>
  <c r="A74" i="1"/>
  <c r="A75" i="1"/>
  <c r="A76" i="1"/>
  <c r="A77" i="1"/>
  <c r="A78" i="1"/>
  <c r="A79" i="1"/>
  <c r="A80" i="1"/>
  <c r="A81" i="1"/>
  <c r="A82" i="1"/>
  <c r="A73" i="1"/>
  <c r="A64" i="1"/>
  <c r="A65" i="1"/>
  <c r="A66" i="1"/>
  <c r="A67" i="1"/>
  <c r="A68" i="1"/>
  <c r="A69" i="1"/>
  <c r="A70" i="1"/>
  <c r="A71" i="1"/>
  <c r="A72" i="1"/>
  <c r="A63" i="1"/>
  <c r="A54" i="1"/>
  <c r="A55" i="1"/>
  <c r="A56" i="1"/>
  <c r="A57" i="1"/>
  <c r="A58" i="1"/>
  <c r="A59" i="1"/>
  <c r="A60" i="1"/>
  <c r="A61" i="1"/>
  <c r="A62" i="1"/>
  <c r="A53" i="1"/>
  <c r="A44" i="1"/>
  <c r="A45" i="1"/>
  <c r="A46" i="1"/>
  <c r="A47" i="1"/>
  <c r="A48" i="1"/>
  <c r="A49" i="1"/>
  <c r="A50" i="1"/>
  <c r="A51" i="1"/>
  <c r="A52" i="1"/>
  <c r="A43" i="1"/>
  <c r="A34" i="1"/>
  <c r="A35" i="1"/>
  <c r="A36" i="1"/>
  <c r="A37" i="1"/>
  <c r="A38" i="1"/>
  <c r="A39" i="1"/>
  <c r="A40" i="1"/>
  <c r="A41" i="1"/>
  <c r="A42" i="1"/>
  <c r="A33" i="1"/>
  <c r="A24" i="1"/>
  <c r="A25" i="1"/>
  <c r="A26" i="1"/>
  <c r="A27" i="1"/>
  <c r="A28" i="1"/>
  <c r="A29" i="1"/>
  <c r="A30" i="1"/>
  <c r="A31" i="1"/>
  <c r="A32" i="1"/>
  <c r="A23" i="1"/>
  <c r="A14" i="1"/>
  <c r="A15" i="1"/>
  <c r="A16" i="1"/>
  <c r="A17" i="1"/>
  <c r="A18" i="1"/>
  <c r="A19" i="1"/>
  <c r="A20" i="1"/>
  <c r="A21" i="1"/>
  <c r="A22" i="1"/>
  <c r="A13" i="1"/>
  <c r="A4" i="1"/>
  <c r="A5" i="1"/>
  <c r="A6" i="1"/>
  <c r="A7" i="1"/>
  <c r="A8" i="1"/>
  <c r="A11" i="1"/>
  <c r="A12" i="1"/>
  <c r="A143" i="8"/>
  <c r="A142" i="8"/>
  <c r="N139" i="8"/>
  <c r="L139" i="8" s="1"/>
  <c r="B9" i="10"/>
  <c r="N49" i="8"/>
  <c r="L49" i="8" s="1"/>
  <c r="G13" i="10"/>
  <c r="G14" i="10"/>
  <c r="E13" i="10"/>
  <c r="E14" i="10"/>
  <c r="D13" i="10"/>
  <c r="I8" i="10"/>
  <c r="H8" i="10"/>
  <c r="H9" i="10"/>
  <c r="G8" i="10"/>
  <c r="G9" i="10"/>
  <c r="F8" i="10"/>
  <c r="F9" i="10"/>
  <c r="E8" i="10"/>
  <c r="E9" i="10"/>
  <c r="D8" i="10"/>
  <c r="B8" i="10"/>
  <c r="J13" i="1"/>
  <c r="D31" i="10"/>
  <c r="J3" i="1"/>
  <c r="J4" i="1" s="1"/>
  <c r="J5" i="1" s="1"/>
  <c r="J6" i="1" s="1"/>
  <c r="J7" i="1" s="1"/>
  <c r="J8" i="1" s="1"/>
  <c r="J9" i="1" s="1"/>
  <c r="J10" i="1" s="1"/>
  <c r="J11" i="1" s="1"/>
  <c r="J12" i="1" s="1"/>
  <c r="G3" i="1"/>
  <c r="A8" i="8"/>
  <c r="C4" i="9"/>
  <c r="C5" i="9" s="1"/>
  <c r="C6" i="9" s="1"/>
  <c r="C7" i="9" s="1"/>
  <c r="C8" i="9" s="1"/>
  <c r="C9" i="9" s="1"/>
  <c r="C10" i="9" s="1"/>
  <c r="E2" i="9"/>
  <c r="E3" i="9" s="1"/>
  <c r="E4" i="9" s="1"/>
  <c r="E5" i="9" s="1"/>
  <c r="E6" i="9" s="1"/>
  <c r="E7" i="9" s="1"/>
  <c r="E8" i="9" s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Q63" i="8" l="1"/>
  <c r="O15" i="8"/>
  <c r="Q153" i="8"/>
  <c r="Q123" i="8"/>
  <c r="Q48" i="8"/>
  <c r="D9" i="10"/>
  <c r="I9" i="10"/>
  <c r="B14" i="10"/>
  <c r="B13" i="10"/>
  <c r="D14" i="10"/>
  <c r="H14" i="10"/>
  <c r="H13" i="10"/>
  <c r="I14" i="10"/>
  <c r="I13" i="10"/>
  <c r="O34" i="8"/>
  <c r="Q34" i="8" s="1"/>
  <c r="Q33" i="8"/>
  <c r="B151" i="8"/>
  <c r="K93" i="1"/>
  <c r="I93" i="1"/>
  <c r="G94" i="1"/>
  <c r="G95" i="1"/>
  <c r="G96" i="1"/>
  <c r="G97" i="1"/>
  <c r="G98" i="1"/>
  <c r="G99" i="1"/>
  <c r="G100" i="1"/>
  <c r="G101" i="1"/>
  <c r="G102" i="1"/>
  <c r="G93" i="1"/>
  <c r="H94" i="1"/>
  <c r="H95" i="1"/>
  <c r="H96" i="1"/>
  <c r="H97" i="1"/>
  <c r="H98" i="1"/>
  <c r="H99" i="1"/>
  <c r="H100" i="1"/>
  <c r="H101" i="1"/>
  <c r="H102" i="1"/>
  <c r="H93" i="1"/>
  <c r="J94" i="1"/>
  <c r="J95" i="1"/>
  <c r="J96" i="1"/>
  <c r="J97" i="1"/>
  <c r="J98" i="1"/>
  <c r="J99" i="1"/>
  <c r="J100" i="1"/>
  <c r="J101" i="1"/>
  <c r="J102" i="1"/>
  <c r="J93" i="1"/>
  <c r="B147" i="8"/>
  <c r="F93" i="1"/>
  <c r="D93" i="1"/>
  <c r="B94" i="1"/>
  <c r="B95" i="1"/>
  <c r="B96" i="1"/>
  <c r="B97" i="1"/>
  <c r="B98" i="1"/>
  <c r="B99" i="1"/>
  <c r="B100" i="1"/>
  <c r="B101" i="1"/>
  <c r="B102" i="1"/>
  <c r="B93" i="1"/>
  <c r="C94" i="1"/>
  <c r="C95" i="1"/>
  <c r="C96" i="1"/>
  <c r="C97" i="1"/>
  <c r="C98" i="1"/>
  <c r="C99" i="1"/>
  <c r="C100" i="1"/>
  <c r="C101" i="1"/>
  <c r="C102" i="1"/>
  <c r="C93" i="1"/>
  <c r="E94" i="1"/>
  <c r="E95" i="1"/>
  <c r="E96" i="1"/>
  <c r="E97" i="1"/>
  <c r="E98" i="1"/>
  <c r="E99" i="1"/>
  <c r="E100" i="1"/>
  <c r="E101" i="1"/>
  <c r="E102" i="1"/>
  <c r="E93" i="1"/>
  <c r="G84" i="1"/>
  <c r="G85" i="1"/>
  <c r="G86" i="1"/>
  <c r="G87" i="1"/>
  <c r="G88" i="1"/>
  <c r="G89" i="1"/>
  <c r="G90" i="1"/>
  <c r="G91" i="1"/>
  <c r="G92" i="1"/>
  <c r="G83" i="1"/>
  <c r="H84" i="1"/>
  <c r="H85" i="1"/>
  <c r="H86" i="1"/>
  <c r="H87" i="1"/>
  <c r="H88" i="1"/>
  <c r="H89" i="1"/>
  <c r="H90" i="1"/>
  <c r="H91" i="1"/>
  <c r="H92" i="1"/>
  <c r="H83" i="1"/>
  <c r="J84" i="1"/>
  <c r="J85" i="1"/>
  <c r="J86" i="1"/>
  <c r="J87" i="1"/>
  <c r="J88" i="1"/>
  <c r="J89" i="1"/>
  <c r="J90" i="1"/>
  <c r="J91" i="1"/>
  <c r="J92" i="1"/>
  <c r="J83" i="1"/>
  <c r="B84" i="1"/>
  <c r="B85" i="1"/>
  <c r="B86" i="1"/>
  <c r="B87" i="1"/>
  <c r="B88" i="1"/>
  <c r="B89" i="1"/>
  <c r="B90" i="1"/>
  <c r="B91" i="1"/>
  <c r="B92" i="1"/>
  <c r="B83" i="1"/>
  <c r="C84" i="1"/>
  <c r="C85" i="1"/>
  <c r="C86" i="1"/>
  <c r="C87" i="1"/>
  <c r="C88" i="1"/>
  <c r="C89" i="1"/>
  <c r="C90" i="1"/>
  <c r="C91" i="1"/>
  <c r="C92" i="1"/>
  <c r="C83" i="1"/>
  <c r="E84" i="1"/>
  <c r="E85" i="1"/>
  <c r="E86" i="1"/>
  <c r="E87" i="1"/>
  <c r="E88" i="1"/>
  <c r="E89" i="1"/>
  <c r="E90" i="1"/>
  <c r="E91" i="1"/>
  <c r="E92" i="1"/>
  <c r="E83" i="1"/>
  <c r="G74" i="1"/>
  <c r="G75" i="1"/>
  <c r="G76" i="1"/>
  <c r="G77" i="1"/>
  <c r="G78" i="1"/>
  <c r="G79" i="1"/>
  <c r="G80" i="1"/>
  <c r="G81" i="1"/>
  <c r="G82" i="1"/>
  <c r="G73" i="1"/>
  <c r="H74" i="1"/>
  <c r="H75" i="1"/>
  <c r="H76" i="1"/>
  <c r="H77" i="1"/>
  <c r="H78" i="1"/>
  <c r="H79" i="1"/>
  <c r="H80" i="1"/>
  <c r="H81" i="1"/>
  <c r="H82" i="1"/>
  <c r="H73" i="1"/>
  <c r="J74" i="1"/>
  <c r="J75" i="1"/>
  <c r="J76" i="1"/>
  <c r="J77" i="1"/>
  <c r="J78" i="1"/>
  <c r="J79" i="1"/>
  <c r="J80" i="1"/>
  <c r="J81" i="1"/>
  <c r="J82" i="1"/>
  <c r="J73" i="1"/>
  <c r="B74" i="1"/>
  <c r="B75" i="1"/>
  <c r="B76" i="1"/>
  <c r="B77" i="1"/>
  <c r="B78" i="1"/>
  <c r="B79" i="1"/>
  <c r="B80" i="1"/>
  <c r="B81" i="1"/>
  <c r="B82" i="1"/>
  <c r="B73" i="1"/>
  <c r="C74" i="1"/>
  <c r="C75" i="1"/>
  <c r="C76" i="1"/>
  <c r="C77" i="1"/>
  <c r="C78" i="1"/>
  <c r="C79" i="1"/>
  <c r="C80" i="1"/>
  <c r="C81" i="1"/>
  <c r="C82" i="1"/>
  <c r="C73" i="1"/>
  <c r="E74" i="1"/>
  <c r="E75" i="1"/>
  <c r="E76" i="1"/>
  <c r="E77" i="1"/>
  <c r="E78" i="1"/>
  <c r="E79" i="1"/>
  <c r="E80" i="1"/>
  <c r="E81" i="1"/>
  <c r="E82" i="1"/>
  <c r="E73" i="1"/>
  <c r="G64" i="1"/>
  <c r="G65" i="1"/>
  <c r="G66" i="1"/>
  <c r="G67" i="1"/>
  <c r="G68" i="1"/>
  <c r="G69" i="1"/>
  <c r="G70" i="1"/>
  <c r="G71" i="1"/>
  <c r="G72" i="1"/>
  <c r="G63" i="1"/>
  <c r="H64" i="1"/>
  <c r="H65" i="1"/>
  <c r="H66" i="1"/>
  <c r="H67" i="1"/>
  <c r="H68" i="1"/>
  <c r="H69" i="1"/>
  <c r="H70" i="1"/>
  <c r="H71" i="1"/>
  <c r="H72" i="1"/>
  <c r="H63" i="1"/>
  <c r="J64" i="1"/>
  <c r="J65" i="1"/>
  <c r="J66" i="1"/>
  <c r="J67" i="1"/>
  <c r="J68" i="1"/>
  <c r="J69" i="1"/>
  <c r="J70" i="1"/>
  <c r="J71" i="1"/>
  <c r="J72" i="1"/>
  <c r="J63" i="1"/>
  <c r="B64" i="1"/>
  <c r="B65" i="1"/>
  <c r="B66" i="1"/>
  <c r="B67" i="1"/>
  <c r="B68" i="1"/>
  <c r="B69" i="1"/>
  <c r="B70" i="1"/>
  <c r="B71" i="1"/>
  <c r="B72" i="1"/>
  <c r="B63" i="1"/>
  <c r="C64" i="1"/>
  <c r="C65" i="1"/>
  <c r="C66" i="1"/>
  <c r="C67" i="1"/>
  <c r="C68" i="1"/>
  <c r="C69" i="1"/>
  <c r="C70" i="1"/>
  <c r="C71" i="1"/>
  <c r="C72" i="1"/>
  <c r="C63" i="1"/>
  <c r="E64" i="1"/>
  <c r="E65" i="1"/>
  <c r="E66" i="1"/>
  <c r="E67" i="1"/>
  <c r="E68" i="1"/>
  <c r="E69" i="1"/>
  <c r="E70" i="1"/>
  <c r="E71" i="1"/>
  <c r="E72" i="1"/>
  <c r="E63" i="1"/>
  <c r="G54" i="1"/>
  <c r="G55" i="1"/>
  <c r="G56" i="1"/>
  <c r="G57" i="1"/>
  <c r="G58" i="1"/>
  <c r="G59" i="1"/>
  <c r="G60" i="1"/>
  <c r="G61" i="1"/>
  <c r="G62" i="1"/>
  <c r="G53" i="1"/>
  <c r="J54" i="1"/>
  <c r="J55" i="1"/>
  <c r="J56" i="1"/>
  <c r="J57" i="1"/>
  <c r="J58" i="1"/>
  <c r="J59" i="1"/>
  <c r="J60" i="1"/>
  <c r="J61" i="1"/>
  <c r="J62" i="1"/>
  <c r="J53" i="1"/>
  <c r="B54" i="1"/>
  <c r="B55" i="1"/>
  <c r="B56" i="1"/>
  <c r="B57" i="1"/>
  <c r="B58" i="1"/>
  <c r="B59" i="1"/>
  <c r="B60" i="1"/>
  <c r="B61" i="1"/>
  <c r="B62" i="1"/>
  <c r="B53" i="1"/>
  <c r="C54" i="1"/>
  <c r="C55" i="1"/>
  <c r="C56" i="1"/>
  <c r="C57" i="1"/>
  <c r="C58" i="1"/>
  <c r="C59" i="1"/>
  <c r="C60" i="1"/>
  <c r="C61" i="1"/>
  <c r="C62" i="1"/>
  <c r="C53" i="1"/>
  <c r="E54" i="1"/>
  <c r="E55" i="1"/>
  <c r="E56" i="1"/>
  <c r="E57" i="1"/>
  <c r="E58" i="1"/>
  <c r="E59" i="1"/>
  <c r="E60" i="1"/>
  <c r="E61" i="1"/>
  <c r="E62" i="1"/>
  <c r="E53" i="1"/>
  <c r="G44" i="1"/>
  <c r="G45" i="1"/>
  <c r="G46" i="1"/>
  <c r="G47" i="1"/>
  <c r="G48" i="1"/>
  <c r="G49" i="1"/>
  <c r="G50" i="1"/>
  <c r="G51" i="1"/>
  <c r="G52" i="1"/>
  <c r="G43" i="1"/>
  <c r="H54" i="1"/>
  <c r="H55" i="1"/>
  <c r="H56" i="1"/>
  <c r="H57" i="1"/>
  <c r="H58" i="1"/>
  <c r="H59" i="1"/>
  <c r="H60" i="1"/>
  <c r="H61" i="1"/>
  <c r="H62" i="1"/>
  <c r="H53" i="1"/>
  <c r="H44" i="1"/>
  <c r="H45" i="1"/>
  <c r="H46" i="1"/>
  <c r="H47" i="1"/>
  <c r="H48" i="1"/>
  <c r="H49" i="1"/>
  <c r="H50" i="1"/>
  <c r="H51" i="1"/>
  <c r="H52" i="1"/>
  <c r="H43" i="1"/>
  <c r="J44" i="1"/>
  <c r="J45" i="1"/>
  <c r="J46" i="1"/>
  <c r="J47" i="1"/>
  <c r="J48" i="1"/>
  <c r="J49" i="1"/>
  <c r="J50" i="1"/>
  <c r="J51" i="1"/>
  <c r="J52" i="1"/>
  <c r="J43" i="1"/>
  <c r="B44" i="1"/>
  <c r="B45" i="1"/>
  <c r="B46" i="1"/>
  <c r="B47" i="1"/>
  <c r="B48" i="1"/>
  <c r="B49" i="1"/>
  <c r="B50" i="1"/>
  <c r="B51" i="1"/>
  <c r="B52" i="1"/>
  <c r="B43" i="1"/>
  <c r="C44" i="1"/>
  <c r="C45" i="1"/>
  <c r="C46" i="1"/>
  <c r="C47" i="1"/>
  <c r="C48" i="1"/>
  <c r="C49" i="1"/>
  <c r="C50" i="1"/>
  <c r="C51" i="1"/>
  <c r="C52" i="1"/>
  <c r="C43" i="1"/>
  <c r="E44" i="1"/>
  <c r="E45" i="1"/>
  <c r="E46" i="1"/>
  <c r="E47" i="1"/>
  <c r="E48" i="1"/>
  <c r="E49" i="1"/>
  <c r="E50" i="1"/>
  <c r="E51" i="1"/>
  <c r="E52" i="1"/>
  <c r="E43" i="1"/>
  <c r="G34" i="1"/>
  <c r="G35" i="1"/>
  <c r="G36" i="1"/>
  <c r="G37" i="1"/>
  <c r="G38" i="1"/>
  <c r="G39" i="1"/>
  <c r="G40" i="1"/>
  <c r="G41" i="1"/>
  <c r="G42" i="1"/>
  <c r="G33" i="1"/>
  <c r="H34" i="1"/>
  <c r="H35" i="1"/>
  <c r="H36" i="1"/>
  <c r="H37" i="1"/>
  <c r="H38" i="1"/>
  <c r="H39" i="1"/>
  <c r="H40" i="1"/>
  <c r="H41" i="1"/>
  <c r="H42" i="1"/>
  <c r="H33" i="1"/>
  <c r="J34" i="1"/>
  <c r="J35" i="1"/>
  <c r="J36" i="1"/>
  <c r="J37" i="1"/>
  <c r="J38" i="1"/>
  <c r="J39" i="1"/>
  <c r="J40" i="1"/>
  <c r="J41" i="1"/>
  <c r="J42" i="1"/>
  <c r="J33" i="1"/>
  <c r="B34" i="1"/>
  <c r="B35" i="1"/>
  <c r="B36" i="1"/>
  <c r="B37" i="1"/>
  <c r="B38" i="1"/>
  <c r="B39" i="1"/>
  <c r="B40" i="1"/>
  <c r="B41" i="1"/>
  <c r="B42" i="1"/>
  <c r="B33" i="1"/>
  <c r="C34" i="1"/>
  <c r="C35" i="1"/>
  <c r="C36" i="1"/>
  <c r="C37" i="1"/>
  <c r="C38" i="1"/>
  <c r="C39" i="1"/>
  <c r="C40" i="1"/>
  <c r="C41" i="1"/>
  <c r="C42" i="1"/>
  <c r="C33" i="1"/>
  <c r="E34" i="1"/>
  <c r="E35" i="1"/>
  <c r="E36" i="1"/>
  <c r="E37" i="1"/>
  <c r="E38" i="1"/>
  <c r="E39" i="1"/>
  <c r="E40" i="1"/>
  <c r="E41" i="1"/>
  <c r="E42" i="1"/>
  <c r="E33" i="1"/>
  <c r="H24" i="1"/>
  <c r="H25" i="1"/>
  <c r="H26" i="1"/>
  <c r="H27" i="1"/>
  <c r="H28" i="1"/>
  <c r="H29" i="1"/>
  <c r="H30" i="1"/>
  <c r="H31" i="1"/>
  <c r="H32" i="1"/>
  <c r="H23" i="1"/>
  <c r="J24" i="1"/>
  <c r="J25" i="1"/>
  <c r="J26" i="1"/>
  <c r="J27" i="1"/>
  <c r="J28" i="1"/>
  <c r="J29" i="1"/>
  <c r="J30" i="1"/>
  <c r="J31" i="1"/>
  <c r="J32" i="1"/>
  <c r="J23" i="1"/>
  <c r="G24" i="1"/>
  <c r="G25" i="1"/>
  <c r="G26" i="1"/>
  <c r="G27" i="1"/>
  <c r="G28" i="1"/>
  <c r="G29" i="1"/>
  <c r="G30" i="1"/>
  <c r="G31" i="1"/>
  <c r="G32" i="1"/>
  <c r="G23" i="1"/>
  <c r="B24" i="1"/>
  <c r="B25" i="1"/>
  <c r="B26" i="1"/>
  <c r="B27" i="1"/>
  <c r="B28" i="1"/>
  <c r="B29" i="1"/>
  <c r="B30" i="1"/>
  <c r="B31" i="1"/>
  <c r="B32" i="1"/>
  <c r="B23" i="1"/>
  <c r="C24" i="1"/>
  <c r="C25" i="1"/>
  <c r="C26" i="1"/>
  <c r="C27" i="1"/>
  <c r="C28" i="1"/>
  <c r="C29" i="1"/>
  <c r="C30" i="1"/>
  <c r="C31" i="1"/>
  <c r="C32" i="1"/>
  <c r="C23" i="1"/>
  <c r="E24" i="1"/>
  <c r="E25" i="1"/>
  <c r="E26" i="1"/>
  <c r="E27" i="1"/>
  <c r="E28" i="1"/>
  <c r="E29" i="1"/>
  <c r="E30" i="1"/>
  <c r="E31" i="1"/>
  <c r="E32" i="1"/>
  <c r="E23" i="1"/>
  <c r="E14" i="1"/>
  <c r="E15" i="1"/>
  <c r="E16" i="1"/>
  <c r="E17" i="1"/>
  <c r="E18" i="1"/>
  <c r="E19" i="1"/>
  <c r="E20" i="1"/>
  <c r="E21" i="1"/>
  <c r="E22" i="1"/>
  <c r="E13" i="1"/>
  <c r="G14" i="1"/>
  <c r="G15" i="1"/>
  <c r="G16" i="1"/>
  <c r="G17" i="1"/>
  <c r="G18" i="1"/>
  <c r="G19" i="1"/>
  <c r="G20" i="1"/>
  <c r="G21" i="1"/>
  <c r="G22" i="1"/>
  <c r="G13" i="1"/>
  <c r="H14" i="1"/>
  <c r="H15" i="1"/>
  <c r="H16" i="1"/>
  <c r="H17" i="1"/>
  <c r="H18" i="1"/>
  <c r="H19" i="1"/>
  <c r="H20" i="1"/>
  <c r="H21" i="1"/>
  <c r="H22" i="1"/>
  <c r="H13" i="1"/>
  <c r="H4" i="1"/>
  <c r="H5" i="1"/>
  <c r="H6" i="1"/>
  <c r="H7" i="1"/>
  <c r="H8" i="1"/>
  <c r="H9" i="1"/>
  <c r="H10" i="1"/>
  <c r="H11" i="1"/>
  <c r="H12" i="1"/>
  <c r="H3" i="1"/>
  <c r="K3" i="1"/>
  <c r="K4" i="1" s="1"/>
  <c r="K5" i="1" s="1"/>
  <c r="K6" i="1" s="1"/>
  <c r="K7" i="1" s="1"/>
  <c r="K8" i="1" s="1"/>
  <c r="K9" i="1" s="1"/>
  <c r="K10" i="1" s="1"/>
  <c r="K11" i="1" s="1"/>
  <c r="K12" i="1" s="1"/>
  <c r="I3" i="1"/>
  <c r="I4" i="1" s="1"/>
  <c r="I5" i="1" s="1"/>
  <c r="I6" i="1" s="1"/>
  <c r="I7" i="1" s="1"/>
  <c r="I8" i="1" s="1"/>
  <c r="I9" i="1" s="1"/>
  <c r="I10" i="1" s="1"/>
  <c r="I11" i="1" s="1"/>
  <c r="I12" i="1" s="1"/>
  <c r="B16" i="8"/>
  <c r="B15" i="10" s="1"/>
  <c r="C8" i="1"/>
  <c r="C3" i="1"/>
  <c r="A7" i="8"/>
  <c r="B12" i="8" s="1"/>
  <c r="B10" i="10" s="1"/>
  <c r="F3" i="1"/>
  <c r="D3" i="1"/>
  <c r="D5" i="1"/>
  <c r="D6" i="1"/>
  <c r="D7" i="1"/>
  <c r="D8" i="1"/>
  <c r="D9" i="1"/>
  <c r="D10" i="1"/>
  <c r="D11" i="1"/>
  <c r="D12" i="1"/>
  <c r="D4" i="1"/>
  <c r="J15" i="1"/>
  <c r="J16" i="1"/>
  <c r="J17" i="1"/>
  <c r="J18" i="1"/>
  <c r="J19" i="1"/>
  <c r="J20" i="1"/>
  <c r="J21" i="1"/>
  <c r="J22" i="1"/>
  <c r="J14" i="1"/>
  <c r="B14" i="1"/>
  <c r="B15" i="1"/>
  <c r="B16" i="1"/>
  <c r="B17" i="1"/>
  <c r="B18" i="1"/>
  <c r="B19" i="1"/>
  <c r="B20" i="1"/>
  <c r="B21" i="1"/>
  <c r="B22" i="1"/>
  <c r="B13" i="1"/>
  <c r="C14" i="1"/>
  <c r="C15" i="1"/>
  <c r="C16" i="1"/>
  <c r="C17" i="1"/>
  <c r="C18" i="1"/>
  <c r="C19" i="1"/>
  <c r="C20" i="1"/>
  <c r="C21" i="1"/>
  <c r="C22" i="1"/>
  <c r="C13" i="1"/>
  <c r="A37" i="8"/>
  <c r="A38" i="8"/>
  <c r="B46" i="8" s="1"/>
  <c r="G4" i="1"/>
  <c r="G5" i="1" s="1"/>
  <c r="C4" i="1"/>
  <c r="C5" i="1"/>
  <c r="C6" i="1"/>
  <c r="C7" i="1"/>
  <c r="C9" i="1"/>
  <c r="C10" i="1"/>
  <c r="C11" i="1"/>
  <c r="C12" i="1"/>
  <c r="B4" i="1"/>
  <c r="B5" i="1"/>
  <c r="B6" i="1"/>
  <c r="B7" i="1"/>
  <c r="B8" i="1"/>
  <c r="B9" i="1"/>
  <c r="B10" i="1"/>
  <c r="B11" i="1"/>
  <c r="B12" i="1"/>
  <c r="B3" i="1"/>
  <c r="E4" i="1"/>
  <c r="E5" i="1"/>
  <c r="E6" i="1"/>
  <c r="E7" i="1"/>
  <c r="E8" i="1"/>
  <c r="E9" i="1"/>
  <c r="E10" i="1"/>
  <c r="E11" i="1"/>
  <c r="E12" i="1"/>
  <c r="E3" i="1"/>
  <c r="A97" i="8"/>
  <c r="N109" i="8"/>
  <c r="L109" i="8" s="1"/>
  <c r="A112" i="8"/>
  <c r="A67" i="8"/>
  <c r="A52" i="8"/>
  <c r="A53" i="8"/>
  <c r="A127" i="8"/>
  <c r="A128" i="8"/>
  <c r="A113" i="8"/>
  <c r="A23" i="8"/>
  <c r="A82" i="8"/>
  <c r="A83" i="8"/>
  <c r="A68" i="8"/>
  <c r="N124" i="8"/>
  <c r="L124" i="8" s="1"/>
  <c r="A22" i="8"/>
  <c r="A98" i="8"/>
  <c r="L154" i="8"/>
  <c r="N94" i="8"/>
  <c r="L94" i="8" s="1"/>
  <c r="N79" i="8"/>
  <c r="L79" i="8" s="1"/>
  <c r="N64" i="8"/>
  <c r="L64" i="8" s="1"/>
  <c r="L19" i="8"/>
  <c r="O18" i="8" l="1"/>
  <c r="Q18" i="8" s="1"/>
  <c r="I95" i="1"/>
  <c r="I96" i="1"/>
  <c r="I97" i="1"/>
  <c r="I98" i="1"/>
  <c r="I99" i="1"/>
  <c r="I100" i="1"/>
  <c r="I101" i="1"/>
  <c r="I102" i="1"/>
  <c r="I94" i="1"/>
  <c r="K95" i="1"/>
  <c r="K96" i="1"/>
  <c r="K97" i="1"/>
  <c r="K98" i="1"/>
  <c r="K99" i="1"/>
  <c r="K100" i="1"/>
  <c r="K101" i="1"/>
  <c r="K102" i="1"/>
  <c r="K94" i="1"/>
  <c r="D95" i="1"/>
  <c r="D96" i="1"/>
  <c r="D97" i="1"/>
  <c r="D98" i="1"/>
  <c r="D99" i="1"/>
  <c r="D100" i="1"/>
  <c r="D101" i="1"/>
  <c r="D102" i="1"/>
  <c r="D94" i="1"/>
  <c r="F95" i="1"/>
  <c r="F96" i="1"/>
  <c r="F97" i="1"/>
  <c r="F98" i="1"/>
  <c r="F99" i="1"/>
  <c r="F100" i="1"/>
  <c r="F101" i="1"/>
  <c r="F102" i="1"/>
  <c r="F94" i="1"/>
  <c r="B136" i="8"/>
  <c r="K83" i="1"/>
  <c r="I83" i="1"/>
  <c r="B117" i="8"/>
  <c r="D73" i="1"/>
  <c r="F73" i="1"/>
  <c r="B121" i="8"/>
  <c r="I73" i="1"/>
  <c r="K73" i="1"/>
  <c r="B132" i="8"/>
  <c r="D83" i="1"/>
  <c r="F83" i="1"/>
  <c r="B106" i="8"/>
  <c r="I63" i="1"/>
  <c r="K63" i="1"/>
  <c r="B102" i="8"/>
  <c r="D63" i="1"/>
  <c r="F63" i="1"/>
  <c r="B91" i="8"/>
  <c r="K53" i="1"/>
  <c r="I53" i="1"/>
  <c r="B87" i="8"/>
  <c r="D53" i="1"/>
  <c r="F53" i="1"/>
  <c r="B76" i="8"/>
  <c r="K43" i="1"/>
  <c r="I43" i="1"/>
  <c r="B72" i="8"/>
  <c r="F43" i="1"/>
  <c r="D43" i="1"/>
  <c r="B61" i="8"/>
  <c r="K33" i="1"/>
  <c r="I33" i="1"/>
  <c r="B57" i="8"/>
  <c r="D33" i="1"/>
  <c r="F33" i="1"/>
  <c r="B42" i="8"/>
  <c r="F23" i="1"/>
  <c r="D23" i="1"/>
  <c r="K23" i="1"/>
  <c r="I23" i="1"/>
  <c r="D13" i="1"/>
  <c r="F13" i="1"/>
  <c r="B27" i="8"/>
  <c r="B31" i="8"/>
  <c r="K13" i="1"/>
  <c r="I13" i="1"/>
  <c r="O154" i="8"/>
  <c r="Q154" i="8" s="1"/>
  <c r="Q138" i="8"/>
  <c r="O139" i="8"/>
  <c r="Q139" i="8" s="1"/>
  <c r="O124" i="8"/>
  <c r="O109" i="8"/>
  <c r="O79" i="8"/>
  <c r="Q79" i="8" s="1"/>
  <c r="O64" i="8"/>
  <c r="Q64" i="8" s="1"/>
  <c r="O49" i="8"/>
  <c r="Q49" i="8" s="1"/>
  <c r="I85" i="1" l="1"/>
  <c r="I86" i="1"/>
  <c r="I87" i="1"/>
  <c r="I88" i="1"/>
  <c r="I89" i="1"/>
  <c r="I90" i="1"/>
  <c r="I91" i="1"/>
  <c r="I92" i="1"/>
  <c r="I84" i="1"/>
  <c r="K85" i="1"/>
  <c r="K86" i="1"/>
  <c r="K87" i="1"/>
  <c r="K88" i="1"/>
  <c r="K89" i="1"/>
  <c r="K90" i="1"/>
  <c r="K91" i="1"/>
  <c r="K92" i="1"/>
  <c r="K84" i="1"/>
  <c r="F75" i="1"/>
  <c r="F76" i="1"/>
  <c r="F77" i="1"/>
  <c r="F78" i="1"/>
  <c r="F79" i="1"/>
  <c r="F80" i="1"/>
  <c r="F81" i="1"/>
  <c r="F82" i="1"/>
  <c r="F74" i="1"/>
  <c r="D75" i="1"/>
  <c r="D76" i="1"/>
  <c r="D77" i="1"/>
  <c r="D78" i="1"/>
  <c r="D79" i="1"/>
  <c r="D80" i="1"/>
  <c r="D81" i="1"/>
  <c r="D82" i="1"/>
  <c r="D74" i="1"/>
  <c r="K75" i="1"/>
  <c r="K76" i="1"/>
  <c r="K77" i="1"/>
  <c r="K78" i="1"/>
  <c r="K79" i="1"/>
  <c r="K80" i="1"/>
  <c r="K81" i="1"/>
  <c r="K82" i="1"/>
  <c r="K74" i="1"/>
  <c r="I75" i="1"/>
  <c r="I76" i="1"/>
  <c r="I77" i="1"/>
  <c r="I78" i="1"/>
  <c r="I79" i="1"/>
  <c r="I80" i="1"/>
  <c r="I81" i="1"/>
  <c r="I82" i="1"/>
  <c r="I74" i="1"/>
  <c r="F85" i="1"/>
  <c r="F86" i="1"/>
  <c r="F87" i="1"/>
  <c r="F88" i="1"/>
  <c r="F89" i="1"/>
  <c r="F90" i="1"/>
  <c r="F91" i="1"/>
  <c r="F92" i="1"/>
  <c r="F84" i="1"/>
  <c r="D85" i="1"/>
  <c r="D86" i="1"/>
  <c r="D87" i="1"/>
  <c r="D88" i="1"/>
  <c r="D89" i="1"/>
  <c r="D90" i="1"/>
  <c r="D91" i="1"/>
  <c r="D92" i="1"/>
  <c r="D84" i="1"/>
  <c r="Q124" i="8"/>
  <c r="K65" i="1"/>
  <c r="K66" i="1"/>
  <c r="K67" i="1"/>
  <c r="K68" i="1"/>
  <c r="K69" i="1"/>
  <c r="K70" i="1"/>
  <c r="K71" i="1"/>
  <c r="K72" i="1"/>
  <c r="K64" i="1"/>
  <c r="I65" i="1"/>
  <c r="I66" i="1"/>
  <c r="I67" i="1"/>
  <c r="I68" i="1"/>
  <c r="I69" i="1"/>
  <c r="I70" i="1"/>
  <c r="I71" i="1"/>
  <c r="I72" i="1"/>
  <c r="I64" i="1"/>
  <c r="F65" i="1"/>
  <c r="F66" i="1"/>
  <c r="F67" i="1"/>
  <c r="F68" i="1"/>
  <c r="F69" i="1"/>
  <c r="F70" i="1"/>
  <c r="F71" i="1"/>
  <c r="F72" i="1"/>
  <c r="F64" i="1"/>
  <c r="D65" i="1"/>
  <c r="D66" i="1"/>
  <c r="D67" i="1"/>
  <c r="D68" i="1"/>
  <c r="D69" i="1"/>
  <c r="D70" i="1"/>
  <c r="D71" i="1"/>
  <c r="D72" i="1"/>
  <c r="D64" i="1"/>
  <c r="I55" i="1"/>
  <c r="I56" i="1"/>
  <c r="I57" i="1"/>
  <c r="I58" i="1"/>
  <c r="I59" i="1"/>
  <c r="I60" i="1"/>
  <c r="I61" i="1"/>
  <c r="I62" i="1"/>
  <c r="I54" i="1"/>
  <c r="K55" i="1"/>
  <c r="K56" i="1"/>
  <c r="K57" i="1"/>
  <c r="K58" i="1"/>
  <c r="K59" i="1"/>
  <c r="K60" i="1"/>
  <c r="K61" i="1"/>
  <c r="K62" i="1"/>
  <c r="K54" i="1"/>
  <c r="F55" i="1"/>
  <c r="F56" i="1"/>
  <c r="F57" i="1"/>
  <c r="F58" i="1"/>
  <c r="F59" i="1"/>
  <c r="F60" i="1"/>
  <c r="F61" i="1"/>
  <c r="F62" i="1"/>
  <c r="F54" i="1"/>
  <c r="D55" i="1"/>
  <c r="D56" i="1"/>
  <c r="D57" i="1"/>
  <c r="D58" i="1"/>
  <c r="D59" i="1"/>
  <c r="D60" i="1"/>
  <c r="D61" i="1"/>
  <c r="D62" i="1"/>
  <c r="D54" i="1"/>
  <c r="I45" i="1"/>
  <c r="I46" i="1"/>
  <c r="I47" i="1"/>
  <c r="I48" i="1"/>
  <c r="I49" i="1"/>
  <c r="I50" i="1"/>
  <c r="I51" i="1"/>
  <c r="I52" i="1"/>
  <c r="I44" i="1"/>
  <c r="K45" i="1"/>
  <c r="K46" i="1"/>
  <c r="K47" i="1"/>
  <c r="K48" i="1"/>
  <c r="K49" i="1"/>
  <c r="K50" i="1"/>
  <c r="K51" i="1"/>
  <c r="K52" i="1"/>
  <c r="K44" i="1"/>
  <c r="D45" i="1"/>
  <c r="D46" i="1"/>
  <c r="D47" i="1"/>
  <c r="D48" i="1"/>
  <c r="D49" i="1"/>
  <c r="D50" i="1"/>
  <c r="D51" i="1"/>
  <c r="D52" i="1"/>
  <c r="D44" i="1"/>
  <c r="F45" i="1"/>
  <c r="F46" i="1"/>
  <c r="F47" i="1"/>
  <c r="F48" i="1"/>
  <c r="F49" i="1"/>
  <c r="F50" i="1"/>
  <c r="F51" i="1"/>
  <c r="F52" i="1"/>
  <c r="F44" i="1"/>
  <c r="I35" i="1"/>
  <c r="I36" i="1"/>
  <c r="I37" i="1"/>
  <c r="I38" i="1"/>
  <c r="I39" i="1"/>
  <c r="I40" i="1"/>
  <c r="I41" i="1"/>
  <c r="I42" i="1"/>
  <c r="I34" i="1"/>
  <c r="K35" i="1"/>
  <c r="K36" i="1"/>
  <c r="K37" i="1"/>
  <c r="K38" i="1"/>
  <c r="K39" i="1"/>
  <c r="K40" i="1"/>
  <c r="K41" i="1"/>
  <c r="K42" i="1"/>
  <c r="K34" i="1"/>
  <c r="F35" i="1"/>
  <c r="F36" i="1"/>
  <c r="F37" i="1"/>
  <c r="F38" i="1"/>
  <c r="F39" i="1"/>
  <c r="F40" i="1"/>
  <c r="F41" i="1"/>
  <c r="F42" i="1"/>
  <c r="F34" i="1"/>
  <c r="D35" i="1"/>
  <c r="D36" i="1"/>
  <c r="D37" i="1"/>
  <c r="D38" i="1"/>
  <c r="D39" i="1"/>
  <c r="D40" i="1"/>
  <c r="D41" i="1"/>
  <c r="D42" i="1"/>
  <c r="D34" i="1"/>
  <c r="I25" i="1"/>
  <c r="I26" i="1"/>
  <c r="I27" i="1"/>
  <c r="I28" i="1"/>
  <c r="I29" i="1"/>
  <c r="I30" i="1"/>
  <c r="I31" i="1"/>
  <c r="I32" i="1"/>
  <c r="I24" i="1"/>
  <c r="K25" i="1"/>
  <c r="K26" i="1"/>
  <c r="K27" i="1"/>
  <c r="K28" i="1"/>
  <c r="K29" i="1"/>
  <c r="K30" i="1"/>
  <c r="K31" i="1"/>
  <c r="K32" i="1"/>
  <c r="K24" i="1"/>
  <c r="D25" i="1"/>
  <c r="D26" i="1"/>
  <c r="D27" i="1"/>
  <c r="D28" i="1"/>
  <c r="D29" i="1"/>
  <c r="D30" i="1"/>
  <c r="D31" i="1"/>
  <c r="D32" i="1"/>
  <c r="D24" i="1"/>
  <c r="F25" i="1"/>
  <c r="F26" i="1"/>
  <c r="F27" i="1"/>
  <c r="F28" i="1"/>
  <c r="F29" i="1"/>
  <c r="F30" i="1"/>
  <c r="F31" i="1"/>
  <c r="F32" i="1"/>
  <c r="F24" i="1"/>
  <c r="F15" i="1"/>
  <c r="F16" i="1"/>
  <c r="F17" i="1"/>
  <c r="F18" i="1"/>
  <c r="F19" i="1"/>
  <c r="F20" i="1"/>
  <c r="F21" i="1"/>
  <c r="F22" i="1"/>
  <c r="F14" i="1"/>
  <c r="D15" i="1"/>
  <c r="D16" i="1"/>
  <c r="D17" i="1"/>
  <c r="D18" i="1"/>
  <c r="D19" i="1"/>
  <c r="D20" i="1"/>
  <c r="D21" i="1"/>
  <c r="D22" i="1"/>
  <c r="D14" i="1"/>
  <c r="I15" i="1"/>
  <c r="I16" i="1"/>
  <c r="I17" i="1"/>
  <c r="I18" i="1"/>
  <c r="I19" i="1"/>
  <c r="I20" i="1"/>
  <c r="I21" i="1"/>
  <c r="I22" i="1"/>
  <c r="I14" i="1"/>
  <c r="K15" i="1"/>
  <c r="K16" i="1"/>
  <c r="K17" i="1"/>
  <c r="K18" i="1"/>
  <c r="K19" i="1"/>
  <c r="K20" i="1"/>
  <c r="K21" i="1"/>
  <c r="K22" i="1"/>
  <c r="K14" i="1"/>
  <c r="Q109" i="8"/>
  <c r="O94" i="8"/>
  <c r="Q94" i="8" s="1"/>
  <c r="O19" i="8"/>
  <c r="I31" i="10" s="1"/>
  <c r="F4" i="1"/>
  <c r="F5" i="1" s="1"/>
  <c r="F6" i="1" s="1"/>
  <c r="F7" i="1" s="1"/>
  <c r="F8" i="1"/>
  <c r="F9" i="1" s="1"/>
  <c r="F10" i="1" s="1"/>
  <c r="F11" i="1" s="1"/>
  <c r="F12" i="1" s="1"/>
  <c r="G6" i="1"/>
  <c r="G7" i="1"/>
  <c r="G8" i="1"/>
  <c r="G9" i="1"/>
  <c r="G10" i="1"/>
  <c r="G11" i="1"/>
  <c r="G12" i="1"/>
  <c r="Q19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5C896A-88A8-4BD5-80E8-198BBC601734}" name="WorksheetConnection_AÉREO REGULAR!$U$8:$Y$18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AÉREOREGULARU8Y18"/>
        </x15:connection>
      </ext>
    </extLst>
  </connection>
  <connection id="2" xr16:uid="{E7AB40D3-CF55-4F6B-98EF-244A7F9A95CA}" name="WorksheetConnection_Planilha voos individuais.xlsx!Tabela1" type="102" refreshedVersion="8" minRefreshableVersion="5">
    <extLst>
      <ext xmlns:x15="http://schemas.microsoft.com/office/spreadsheetml/2010/11/main" uri="{DE250136-89BD-433C-8126-D09CA5730AF9}">
        <x15:connection id="Tabela1">
          <x15:rangePr sourceName="_xlcn.WorksheetConnection_Planilhavoosindividuais.xlsxTabela1"/>
        </x15:connection>
      </ext>
    </extLst>
  </connection>
</connections>
</file>

<file path=xl/sharedStrings.xml><?xml version="1.0" encoding="utf-8"?>
<sst xmlns="http://schemas.openxmlformats.org/spreadsheetml/2006/main" count="577" uniqueCount="126">
  <si>
    <t xml:space="preserve">Atendimento Aéreo: </t>
  </si>
  <si>
    <t>Solicitado  por:</t>
  </si>
  <si>
    <t>CIA:</t>
  </si>
  <si>
    <t>Divisão:</t>
  </si>
  <si>
    <t>CRD:</t>
  </si>
  <si>
    <t>Recebido em:</t>
  </si>
  <si>
    <t>Respondido em:</t>
  </si>
  <si>
    <t>OPÇÃO 1</t>
  </si>
  <si>
    <t>Cotação:</t>
  </si>
  <si>
    <t>Prazo:</t>
  </si>
  <si>
    <t>CÓD ZENDESK</t>
  </si>
  <si>
    <t>Dados para reserva</t>
  </si>
  <si>
    <t>CIA</t>
  </si>
  <si>
    <t>VOO</t>
  </si>
  <si>
    <t>CLASSE</t>
  </si>
  <si>
    <t>DATA</t>
  </si>
  <si>
    <t>ORIGEM</t>
  </si>
  <si>
    <t>DESTINO</t>
  </si>
  <si>
    <t>SAÍDA</t>
  </si>
  <si>
    <t>CHEGADA</t>
  </si>
  <si>
    <t>MOEDA</t>
  </si>
  <si>
    <t>VALOR DA PROPOSTA</t>
  </si>
  <si>
    <t>VALOR CLIENTE</t>
  </si>
  <si>
    <t>VALOR VOO REGULAR WEBSITE</t>
  </si>
  <si>
    <t>IDA</t>
  </si>
  <si>
    <t>Dollar</t>
  </si>
  <si>
    <t>NOME COMPLETO</t>
  </si>
  <si>
    <t>DOCUMENTO</t>
  </si>
  <si>
    <t>VALIDADE PASSAPORTE</t>
  </si>
  <si>
    <t>NASCIMENTO</t>
  </si>
  <si>
    <t>MKUP</t>
  </si>
  <si>
    <t>TAXA DE EMBARQUE</t>
  </si>
  <si>
    <t>TAXAS CLIENTE</t>
  </si>
  <si>
    <t>TAXA EMBARQUE REGULAR</t>
  </si>
  <si>
    <t>OBS.:</t>
  </si>
  <si>
    <t>TAXA 4BTS</t>
  </si>
  <si>
    <t>VOLTA</t>
  </si>
  <si>
    <t>QUANT. PAX</t>
  </si>
  <si>
    <t>CUSTO COM TAXAS</t>
  </si>
  <si>
    <t>TOTAL COM TAXAS</t>
  </si>
  <si>
    <t>TARIFA WEBSITE</t>
  </si>
  <si>
    <t>QUANT. BAGAGEM</t>
  </si>
  <si>
    <t>TAXA DE EMISSÃO (FEE)</t>
  </si>
  <si>
    <t>INCENTIVO</t>
  </si>
  <si>
    <t xml:space="preserve">CUSTO TOTAL NET </t>
  </si>
  <si>
    <t>CUSTO TOTAL CLIENTE</t>
  </si>
  <si>
    <t>LUCRO</t>
  </si>
  <si>
    <t>BAGAGEM EXTRA</t>
  </si>
  <si>
    <t>TIPO DE CABINE</t>
  </si>
  <si>
    <t>ECONÔMICA</t>
  </si>
  <si>
    <t>CÂMBIO</t>
  </si>
  <si>
    <t>STATUS</t>
  </si>
  <si>
    <t>RESERVADO</t>
  </si>
  <si>
    <t>OPÇÃO 2</t>
  </si>
  <si>
    <t>OPÇÃO 3</t>
  </si>
  <si>
    <t>OPÇÃO 4</t>
  </si>
  <si>
    <t>Reais</t>
  </si>
  <si>
    <t>OPÇÃO 5</t>
  </si>
  <si>
    <t>OPÇÃO 6</t>
  </si>
  <si>
    <t>OPÇÃO 7</t>
  </si>
  <si>
    <t>OPÇÃO 8</t>
  </si>
  <si>
    <t>OPÇÃO 9</t>
  </si>
  <si>
    <t>OPÇÃO 10</t>
  </si>
  <si>
    <t>PROPOSTA COTAÇÃO AÉREO REGULAR</t>
  </si>
  <si>
    <t>Selecionar Opção</t>
  </si>
  <si>
    <t>INFORMAÇÕES ADCIONAIS</t>
  </si>
  <si>
    <t xml:space="preserve">- Certifique-se que não houve alteração no terminal de embarque indicado antes da viagem.
- Para viagens nacionais, apresentar cédula de identidade ou CNH original com foto.
- Para viagens internacionais, verificar se o país a ser visitado exige passaporte, vacina ou visto de entrada.                                                                                                                                                                                                                                               
- Para visualizar as informações sobre vistos e vacinas.
http://www.iatatravelcentre.com/passport-visa-health-travel-document-requirements.htm
- Para visualizar informações sobre o país de destino.
http://www.iatatravelcentre.com/customs-currency-airport-tax-regulations.htm
- A apresentação para embarque deve ocorrer com 2 horas de antecedência para voos domésticos e 3 horas para voos internacionais,
-Lembrando que o terminal de embarque está sujeito a alteração.
- Recomendamos que consulte a sua cia aérea para condições e regras de embarque.                                                                                                        </t>
  </si>
  <si>
    <t>Nada reservado, apenas cotado. Sujeito a disponibilidade e Alteração de valores.  Apenas a emissão garante a reserva.</t>
  </si>
  <si>
    <t>Taxa de Embarque</t>
  </si>
  <si>
    <t>Tarifa por pessoa</t>
  </si>
  <si>
    <t>Quantidade de pessoas</t>
  </si>
  <si>
    <t>Taxa Serv.</t>
  </si>
  <si>
    <t>Valor Total</t>
  </si>
  <si>
    <t>__________________________________________</t>
  </si>
  <si>
    <t>____________________________</t>
  </si>
  <si>
    <t>Autorizado por</t>
  </si>
  <si>
    <t>Data da autorização</t>
  </si>
  <si>
    <t>Avenida das Americas, 3434 - Bloco 5 - Grupo 520</t>
  </si>
  <si>
    <t>www.4BTS.com.br</t>
  </si>
  <si>
    <t>Barra da Tijuca - Rio de Janeiro - 22.640-102</t>
  </si>
  <si>
    <t>Tel.: (+55 21) 2025-7900 /  (+55 11) 98216-2717</t>
  </si>
  <si>
    <t>PASSAGEIRO</t>
  </si>
  <si>
    <t>RETORNO</t>
  </si>
  <si>
    <t>Nome Completo</t>
  </si>
  <si>
    <t>Origem</t>
  </si>
  <si>
    <t>Destino</t>
  </si>
  <si>
    <t xml:space="preserve">Saída </t>
  </si>
  <si>
    <t>Chegada</t>
  </si>
  <si>
    <t>DATA2</t>
  </si>
  <si>
    <t>Origem2</t>
  </si>
  <si>
    <t>Destino2</t>
  </si>
  <si>
    <t>Saída 2</t>
  </si>
  <si>
    <t>Chegada2</t>
  </si>
  <si>
    <t>DU</t>
  </si>
  <si>
    <t>Responsavel</t>
  </si>
  <si>
    <t>Data</t>
  </si>
  <si>
    <t xml:space="preserve">Bagagem </t>
  </si>
  <si>
    <t>CABINE</t>
  </si>
  <si>
    <t>PROPOSTA</t>
  </si>
  <si>
    <t>APENAS DE MÃO</t>
  </si>
  <si>
    <t>COTAÇÃO</t>
  </si>
  <si>
    <t>S/O</t>
  </si>
  <si>
    <t>Consuelo</t>
  </si>
  <si>
    <t>1 - 23KG</t>
  </si>
  <si>
    <t>PRIMEIRA</t>
  </si>
  <si>
    <t>CONFIRMADO</t>
  </si>
  <si>
    <t>Cristiane</t>
  </si>
  <si>
    <t>2 - 23KG</t>
  </si>
  <si>
    <t>EXECUTIVA</t>
  </si>
  <si>
    <t>EMITIDO</t>
  </si>
  <si>
    <t>Euro</t>
  </si>
  <si>
    <t>Wallace</t>
  </si>
  <si>
    <t>3 - 23KG</t>
  </si>
  <si>
    <t>ECONÔMICA P</t>
  </si>
  <si>
    <t>CANCELADO</t>
  </si>
  <si>
    <t>Jorge</t>
  </si>
  <si>
    <t>1 - 32KG</t>
  </si>
  <si>
    <t>Alessandra</t>
  </si>
  <si>
    <t>2 - 32KG</t>
  </si>
  <si>
    <t xml:space="preserve">Amir </t>
  </si>
  <si>
    <t>3 - 32KG</t>
  </si>
  <si>
    <t>Humberto</t>
  </si>
  <si>
    <t>1 - 40KG</t>
  </si>
  <si>
    <t>Taiane</t>
  </si>
  <si>
    <t>2 - 40KG</t>
  </si>
  <si>
    <t>3 - 40KG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</si>
</sst>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[$-F400]h:mm:ss\ AM/PM"/>
    <numFmt numFmtId="166" formatCode="_-[$$-409]* #,##0.00_ ;_-[$$-409]* \-#,##0.00\ ;_-[$$-409]* &quot;-&quot;??_ ;_-@_ "/>
    <numFmt numFmtId="167" formatCode="[$-416]d\-mmm\-yy;@"/>
  </numFmts>
  <fonts count="5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000000"/>
      <name val="Calibri"/>
      <family val="2"/>
      <charset val="1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6"/>
      <color theme="1"/>
      <name val="Consolas"/>
      <family val="3"/>
    </font>
    <font>
      <b/>
      <sz val="16"/>
      <color rgb="FF4A86E8"/>
      <name val="Calibri"/>
      <family val="2"/>
    </font>
    <font>
      <sz val="10"/>
      <color theme="1"/>
      <name val="Calibri"/>
      <family val="2"/>
    </font>
    <font>
      <b/>
      <sz val="9"/>
      <color rgb="FF0B5394"/>
      <name val="Calibri"/>
      <family val="2"/>
    </font>
    <font>
      <b/>
      <sz val="14"/>
      <color rgb="FF0B5394"/>
      <name val="Calibri"/>
      <family val="2"/>
    </font>
    <font>
      <b/>
      <sz val="10"/>
      <color rgb="FF0B5394"/>
      <name val="Calibri"/>
      <family val="2"/>
    </font>
    <font>
      <b/>
      <sz val="8"/>
      <color rgb="FF0B5394"/>
      <name val="Calibri"/>
      <family val="2"/>
    </font>
    <font>
      <sz val="8"/>
      <color rgb="FF0B5394"/>
      <name val="Calibri"/>
      <family val="2"/>
    </font>
    <font>
      <b/>
      <sz val="9"/>
      <color theme="1"/>
      <name val="Calibri"/>
      <family val="2"/>
    </font>
    <font>
      <sz val="11"/>
      <color rgb="FFFFFFFF"/>
      <name val="Calibri"/>
      <family val="2"/>
    </font>
    <font>
      <sz val="11"/>
      <name val="Arial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8"/>
      <color theme="1" tint="0.14993743705557422"/>
      <name val="Calibri"/>
      <family val="2"/>
      <scheme val="minor"/>
    </font>
    <font>
      <b/>
      <sz val="12"/>
      <color rgb="FF0B5394"/>
      <name val="Calibri"/>
      <family val="2"/>
    </font>
    <font>
      <u/>
      <sz val="8"/>
      <color rgb="FF1155CC"/>
      <name val="Calibri"/>
      <family val="2"/>
    </font>
    <font>
      <b/>
      <sz val="10"/>
      <color theme="1"/>
      <name val="Calibri"/>
      <family val="2"/>
    </font>
    <font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444444"/>
      <name val="Calibri"/>
      <family val="2"/>
    </font>
    <font>
      <b/>
      <sz val="9"/>
      <color rgb="FFFFFFFF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6"/>
      <color rgb="FF203764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444444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</font>
    <font>
      <sz val="10"/>
      <color rgb="FFFF000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FFE6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theme="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F6E3"/>
        <bgColor rgb="FFFCF6E3"/>
      </patternFill>
    </fill>
    <fill>
      <patternFill patternType="solid">
        <fgColor rgb="FF1155CC"/>
        <bgColor rgb="FF1155CC"/>
      </patternFill>
    </fill>
    <fill>
      <patternFill patternType="solid">
        <fgColor theme="0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FBFBF"/>
        <bgColor indexed="64"/>
      </patternFill>
    </fill>
  </fills>
  <borders count="9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0" fontId="16" fillId="0" borderId="0"/>
  </cellStyleXfs>
  <cellXfs count="43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5" borderId="0" xfId="0" applyFill="1"/>
    <xf numFmtId="0" fontId="3" fillId="8" borderId="4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8" fillId="5" borderId="0" xfId="0" applyFont="1" applyFill="1"/>
    <xf numFmtId="0" fontId="9" fillId="5" borderId="0" xfId="0" applyFont="1" applyFill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166" fontId="6" fillId="7" borderId="18" xfId="0" applyNumberFormat="1" applyFont="1" applyFill="1" applyBorder="1"/>
    <xf numFmtId="164" fontId="6" fillId="7" borderId="18" xfId="0" applyNumberFormat="1" applyFont="1" applyFill="1" applyBorder="1"/>
    <xf numFmtId="0" fontId="3" fillId="8" borderId="19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/>
    </xf>
    <xf numFmtId="0" fontId="3" fillId="11" borderId="1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20" fontId="6" fillId="0" borderId="21" xfId="0" applyNumberFormat="1" applyFont="1" applyBorder="1" applyAlignment="1">
      <alignment horizontal="center"/>
    </xf>
    <xf numFmtId="0" fontId="0" fillId="16" borderId="0" xfId="0" applyFill="1"/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6" xfId="0" applyFont="1" applyBorder="1"/>
    <xf numFmtId="9" fontId="0" fillId="0" borderId="8" xfId="0" applyNumberFormat="1" applyBorder="1" applyAlignment="1">
      <alignment horizontal="center"/>
    </xf>
    <xf numFmtId="167" fontId="0" fillId="0" borderId="1" xfId="0" applyNumberFormat="1" applyBorder="1"/>
    <xf numFmtId="0" fontId="5" fillId="0" borderId="0" xfId="0" applyFont="1"/>
    <xf numFmtId="167" fontId="0" fillId="0" borderId="2" xfId="0" applyNumberFormat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12" fillId="16" borderId="0" xfId="0" applyFont="1" applyFill="1"/>
    <xf numFmtId="0" fontId="12" fillId="5" borderId="0" xfId="0" applyFont="1" applyFill="1"/>
    <xf numFmtId="0" fontId="9" fillId="5" borderId="2" xfId="0" applyFont="1" applyFill="1" applyBorder="1" applyAlignment="1">
      <alignment horizontal="center" vertical="center"/>
    </xf>
    <xf numFmtId="165" fontId="6" fillId="0" borderId="12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5" fontId="6" fillId="0" borderId="21" xfId="0" applyNumberFormat="1" applyFont="1" applyBorder="1" applyAlignment="1">
      <alignment horizontal="center"/>
    </xf>
    <xf numFmtId="165" fontId="6" fillId="0" borderId="11" xfId="0" applyNumberFormat="1" applyFont="1" applyBorder="1" applyAlignment="1">
      <alignment horizontal="center"/>
    </xf>
    <xf numFmtId="14" fontId="0" fillId="5" borderId="1" xfId="0" applyNumberFormat="1" applyFill="1" applyBorder="1"/>
    <xf numFmtId="0" fontId="0" fillId="5" borderId="1" xfId="0" applyFill="1" applyBorder="1"/>
    <xf numFmtId="0" fontId="0" fillId="5" borderId="4" xfId="0" applyFill="1" applyBorder="1"/>
    <xf numFmtId="0" fontId="6" fillId="0" borderId="12" xfId="0" applyFont="1" applyBorder="1" applyAlignment="1">
      <alignment horizontal="center"/>
    </xf>
    <xf numFmtId="20" fontId="6" fillId="0" borderId="12" xfId="0" applyNumberFormat="1" applyFont="1" applyBorder="1" applyAlignment="1">
      <alignment horizontal="center"/>
    </xf>
    <xf numFmtId="20" fontId="6" fillId="0" borderId="40" xfId="0" applyNumberFormat="1" applyFont="1" applyBorder="1" applyAlignment="1">
      <alignment horizontal="center"/>
    </xf>
    <xf numFmtId="14" fontId="6" fillId="0" borderId="41" xfId="0" applyNumberFormat="1" applyFont="1" applyBorder="1" applyAlignment="1">
      <alignment horizontal="center"/>
    </xf>
    <xf numFmtId="22" fontId="6" fillId="0" borderId="1" xfId="0" applyNumberFormat="1" applyFont="1" applyBorder="1" applyAlignment="1">
      <alignment horizontal="center"/>
    </xf>
    <xf numFmtId="20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14" fontId="6" fillId="0" borderId="43" xfId="0" applyNumberFormat="1" applyFont="1" applyBorder="1" applyAlignment="1">
      <alignment horizontal="center"/>
    </xf>
    <xf numFmtId="22" fontId="6" fillId="0" borderId="43" xfId="0" applyNumberFormat="1" applyFont="1" applyBorder="1" applyAlignment="1">
      <alignment horizontal="center"/>
    </xf>
    <xf numFmtId="20" fontId="6" fillId="0" borderId="43" xfId="0" applyNumberFormat="1" applyFont="1" applyBorder="1" applyAlignment="1">
      <alignment horizontal="center"/>
    </xf>
    <xf numFmtId="165" fontId="6" fillId="0" borderId="43" xfId="0" applyNumberFormat="1" applyFont="1" applyBorder="1" applyAlignment="1">
      <alignment horizontal="center"/>
    </xf>
    <xf numFmtId="0" fontId="3" fillId="11" borderId="59" xfId="0" applyFont="1" applyFill="1" applyBorder="1" applyAlignment="1">
      <alignment horizontal="center"/>
    </xf>
    <xf numFmtId="14" fontId="6" fillId="5" borderId="11" xfId="0" applyNumberFormat="1" applyFont="1" applyFill="1" applyBorder="1" applyAlignment="1">
      <alignment horizontal="center" vertical="center"/>
    </xf>
    <xf numFmtId="0" fontId="3" fillId="11" borderId="40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5" fillId="0" borderId="0" xfId="0" applyFont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vertical="center"/>
    </xf>
    <xf numFmtId="0" fontId="5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7" borderId="12" xfId="0" applyFill="1" applyBorder="1"/>
    <xf numFmtId="165" fontId="6" fillId="0" borderId="40" xfId="0" applyNumberFormat="1" applyFont="1" applyBorder="1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166" fontId="6" fillId="7" borderId="23" xfId="0" applyNumberFormat="1" applyFont="1" applyFill="1" applyBorder="1"/>
    <xf numFmtId="0" fontId="6" fillId="5" borderId="18" xfId="0" applyFont="1" applyFill="1" applyBorder="1" applyAlignment="1">
      <alignment horizontal="left"/>
    </xf>
    <xf numFmtId="166" fontId="29" fillId="16" borderId="0" xfId="0" applyNumberFormat="1" applyFont="1" applyFill="1" applyAlignment="1">
      <alignment horizontal="center" vertical="center"/>
    </xf>
    <xf numFmtId="166" fontId="27" fillId="16" borderId="0" xfId="0" applyNumberFormat="1" applyFont="1" applyFill="1" applyAlignment="1">
      <alignment vertical="center"/>
    </xf>
    <xf numFmtId="0" fontId="31" fillId="5" borderId="0" xfId="0" applyFont="1" applyFill="1"/>
    <xf numFmtId="0" fontId="32" fillId="5" borderId="0" xfId="0" applyFont="1" applyFill="1"/>
    <xf numFmtId="0" fontId="25" fillId="2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22" borderId="0" xfId="0" applyFont="1" applyFill="1" applyAlignment="1">
      <alignment horizontal="center" vertical="center"/>
    </xf>
    <xf numFmtId="0" fontId="21" fillId="22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2" fillId="22" borderId="0" xfId="0" applyFont="1" applyFill="1" applyAlignment="1">
      <alignment horizontal="center" vertical="center"/>
    </xf>
    <xf numFmtId="0" fontId="21" fillId="22" borderId="0" xfId="0" applyFont="1" applyFill="1" applyAlignment="1">
      <alignment horizontal="center" vertical="center"/>
    </xf>
    <xf numFmtId="0" fontId="23" fillId="22" borderId="0" xfId="0" applyFont="1" applyFill="1" applyAlignment="1">
      <alignment horizontal="left" vertical="center"/>
    </xf>
    <xf numFmtId="0" fontId="23" fillId="22" borderId="0" xfId="0" applyFont="1" applyFill="1" applyAlignment="1">
      <alignment horizontal="center" vertical="center"/>
    </xf>
    <xf numFmtId="0" fontId="35" fillId="22" borderId="0" xfId="0" applyFont="1" applyFill="1" applyAlignment="1">
      <alignment horizontal="center" vertical="center"/>
    </xf>
    <xf numFmtId="0" fontId="36" fillId="5" borderId="0" xfId="0" applyFont="1" applyFill="1" applyAlignment="1">
      <alignment vertical="center"/>
    </xf>
    <xf numFmtId="0" fontId="19" fillId="22" borderId="0" xfId="0" applyFont="1" applyFill="1" applyAlignment="1">
      <alignment vertical="center"/>
    </xf>
    <xf numFmtId="0" fontId="24" fillId="5" borderId="0" xfId="0" applyFont="1" applyFill="1" applyAlignment="1">
      <alignment vertical="center"/>
    </xf>
    <xf numFmtId="0" fontId="19" fillId="5" borderId="0" xfId="0" applyFont="1" applyFill="1" applyAlignment="1">
      <alignment vertical="center"/>
    </xf>
    <xf numFmtId="0" fontId="37" fillId="22" borderId="0" xfId="0" applyFont="1" applyFill="1" applyAlignment="1">
      <alignment horizontal="center" vertical="center"/>
    </xf>
    <xf numFmtId="0" fontId="33" fillId="5" borderId="0" xfId="0" applyFont="1" applyFill="1"/>
    <xf numFmtId="0" fontId="41" fillId="16" borderId="1" xfId="0" applyFont="1" applyFill="1" applyBorder="1" applyAlignment="1">
      <alignment horizontal="left"/>
    </xf>
    <xf numFmtId="0" fontId="40" fillId="16" borderId="1" xfId="0" applyFont="1" applyFill="1" applyBorder="1" applyAlignment="1">
      <alignment horizontal="center" vertical="center"/>
    </xf>
    <xf numFmtId="0" fontId="42" fillId="0" borderId="2" xfId="0" quotePrefix="1" applyFont="1" applyBorder="1" applyAlignment="1">
      <alignment horizontal="center"/>
    </xf>
    <xf numFmtId="0" fontId="40" fillId="16" borderId="4" xfId="0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4" fontId="42" fillId="0" borderId="2" xfId="0" applyNumberFormat="1" applyFont="1" applyBorder="1"/>
    <xf numFmtId="0" fontId="42" fillId="0" borderId="8" xfId="0" applyFont="1" applyBorder="1" applyAlignment="1">
      <alignment horizontal="center"/>
    </xf>
    <xf numFmtId="165" fontId="43" fillId="0" borderId="1" xfId="0" applyNumberFormat="1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14" fontId="41" fillId="0" borderId="1" xfId="0" quotePrefix="1" applyNumberFormat="1" applyFont="1" applyBorder="1" applyAlignment="1">
      <alignment horizontal="center"/>
    </xf>
    <xf numFmtId="22" fontId="41" fillId="0" borderId="13" xfId="0" applyNumberFormat="1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165" fontId="41" fillId="0" borderId="11" xfId="0" applyNumberFormat="1" applyFont="1" applyBorder="1" applyAlignment="1">
      <alignment horizontal="center"/>
    </xf>
    <xf numFmtId="14" fontId="41" fillId="0" borderId="1" xfId="0" applyNumberFormat="1" applyFont="1" applyBorder="1" applyAlignment="1">
      <alignment horizontal="center"/>
    </xf>
    <xf numFmtId="0" fontId="41" fillId="0" borderId="13" xfId="0" applyFont="1" applyBorder="1" applyAlignment="1">
      <alignment horizontal="center"/>
    </xf>
    <xf numFmtId="165" fontId="42" fillId="0" borderId="3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center"/>
    </xf>
    <xf numFmtId="22" fontId="15" fillId="0" borderId="0" xfId="0" applyNumberFormat="1" applyFont="1" applyAlignment="1">
      <alignment horizontal="center"/>
    </xf>
    <xf numFmtId="0" fontId="5" fillId="25" borderId="1" xfId="0" applyFont="1" applyFill="1" applyBorder="1" applyAlignment="1">
      <alignment horizontal="center"/>
    </xf>
    <xf numFmtId="0" fontId="0" fillId="16" borderId="0" xfId="0" applyFill="1" applyAlignment="1">
      <alignment horizontal="left" vertical="center"/>
    </xf>
    <xf numFmtId="0" fontId="0" fillId="16" borderId="0" xfId="0" applyFill="1" applyAlignment="1">
      <alignment horizontal="center"/>
    </xf>
    <xf numFmtId="0" fontId="12" fillId="5" borderId="66" xfId="0" applyFont="1" applyFill="1" applyBorder="1"/>
    <xf numFmtId="0" fontId="12" fillId="5" borderId="67" xfId="0" applyFont="1" applyFill="1" applyBorder="1"/>
    <xf numFmtId="0" fontId="6" fillId="0" borderId="25" xfId="0" applyFont="1" applyBorder="1" applyAlignment="1">
      <alignment horizontal="center"/>
    </xf>
    <xf numFmtId="0" fontId="6" fillId="0" borderId="35" xfId="0" applyFont="1" applyBorder="1"/>
    <xf numFmtId="0" fontId="3" fillId="8" borderId="23" xfId="0" applyFont="1" applyFill="1" applyBorder="1" applyAlignment="1">
      <alignment vertical="center" wrapText="1"/>
    </xf>
    <xf numFmtId="0" fontId="3" fillId="8" borderId="13" xfId="0" applyFont="1" applyFill="1" applyBorder="1" applyAlignment="1">
      <alignment vertical="center" wrapText="1"/>
    </xf>
    <xf numFmtId="0" fontId="41" fillId="0" borderId="54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4" xfId="0" applyFont="1" applyBorder="1"/>
    <xf numFmtId="0" fontId="6" fillId="0" borderId="4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20" fontId="6" fillId="0" borderId="81" xfId="0" applyNumberFormat="1" applyFont="1" applyBorder="1" applyAlignment="1">
      <alignment horizontal="center"/>
    </xf>
    <xf numFmtId="22" fontId="6" fillId="0" borderId="41" xfId="0" applyNumberFormat="1" applyFont="1" applyBorder="1" applyAlignment="1">
      <alignment horizontal="center"/>
    </xf>
    <xf numFmtId="20" fontId="6" fillId="0" borderId="41" xfId="0" applyNumberFormat="1" applyFont="1" applyBorder="1" applyAlignment="1">
      <alignment horizontal="center"/>
    </xf>
    <xf numFmtId="165" fontId="6" fillId="0" borderId="41" xfId="0" applyNumberFormat="1" applyFont="1" applyBorder="1" applyAlignment="1">
      <alignment horizontal="center"/>
    </xf>
    <xf numFmtId="0" fontId="6" fillId="0" borderId="41" xfId="0" applyFont="1" applyBorder="1" applyAlignment="1">
      <alignment horizontal="center" vertical="center"/>
    </xf>
    <xf numFmtId="14" fontId="6" fillId="0" borderId="41" xfId="0" applyNumberFormat="1" applyFont="1" applyBorder="1" applyAlignment="1">
      <alignment horizontal="center" vertical="center"/>
    </xf>
    <xf numFmtId="22" fontId="6" fillId="0" borderId="41" xfId="0" applyNumberFormat="1" applyFont="1" applyBorder="1" applyAlignment="1">
      <alignment horizontal="center" vertical="center"/>
    </xf>
    <xf numFmtId="20" fontId="6" fillId="0" borderId="41" xfId="0" applyNumberFormat="1" applyFont="1" applyBorder="1" applyAlignment="1">
      <alignment horizontal="center" vertical="center"/>
    </xf>
    <xf numFmtId="165" fontId="6" fillId="0" borderId="4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42" fillId="0" borderId="0" xfId="0" quotePrefix="1" applyNumberFormat="1" applyFont="1" applyAlignment="1">
      <alignment horizontal="center"/>
    </xf>
    <xf numFmtId="165" fontId="16" fillId="0" borderId="0" xfId="0" quotePrefix="1" applyNumberFormat="1" applyFont="1" applyAlignment="1">
      <alignment horizontal="center"/>
    </xf>
    <xf numFmtId="0" fontId="42" fillId="0" borderId="0" xfId="0" quotePrefix="1" applyFont="1" applyAlignment="1">
      <alignment horizontal="center"/>
    </xf>
    <xf numFmtId="165" fontId="16" fillId="0" borderId="0" xfId="0" quotePrefix="1" applyNumberFormat="1" applyFont="1" applyAlignment="1">
      <alignment horizontal="center" vertical="center"/>
    </xf>
    <xf numFmtId="165" fontId="49" fillId="0" borderId="0" xfId="0" applyNumberFormat="1" applyFont="1" applyAlignment="1">
      <alignment horizontal="center"/>
    </xf>
    <xf numFmtId="0" fontId="52" fillId="0" borderId="1" xfId="0" applyFont="1" applyBorder="1"/>
    <xf numFmtId="0" fontId="53" fillId="0" borderId="1" xfId="0" applyFont="1" applyBorder="1"/>
    <xf numFmtId="0" fontId="2" fillId="0" borderId="1" xfId="0" applyFont="1" applyBorder="1"/>
    <xf numFmtId="166" fontId="0" fillId="16" borderId="0" xfId="0" applyNumberFormat="1" applyFill="1"/>
    <xf numFmtId="166" fontId="0" fillId="5" borderId="0" xfId="0" applyNumberFormat="1" applyFill="1"/>
    <xf numFmtId="166" fontId="5" fillId="0" borderId="0" xfId="0" applyNumberFormat="1" applyFont="1" applyAlignment="1">
      <alignment horizontal="center"/>
    </xf>
    <xf numFmtId="166" fontId="3" fillId="2" borderId="11" xfId="0" applyNumberFormat="1" applyFont="1" applyFill="1" applyBorder="1" applyAlignment="1">
      <alignment horizontal="center" vertical="center"/>
    </xf>
    <xf numFmtId="166" fontId="3" fillId="2" borderId="11" xfId="0" applyNumberFormat="1" applyFont="1" applyFill="1" applyBorder="1" applyAlignment="1">
      <alignment horizontal="center"/>
    </xf>
    <xf numFmtId="0" fontId="26" fillId="21" borderId="75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6" fillId="21" borderId="75" xfId="0" applyFont="1" applyFill="1" applyBorder="1" applyAlignment="1">
      <alignment vertical="center"/>
    </xf>
    <xf numFmtId="164" fontId="0" fillId="0" borderId="35" xfId="0" applyNumberFormat="1" applyBorder="1"/>
    <xf numFmtId="9" fontId="0" fillId="0" borderId="35" xfId="0" applyNumberFormat="1" applyBorder="1" applyAlignment="1">
      <alignment horizontal="center"/>
    </xf>
    <xf numFmtId="164" fontId="6" fillId="7" borderId="23" xfId="0" applyNumberFormat="1" applyFont="1" applyFill="1" applyBorder="1"/>
    <xf numFmtId="166" fontId="0" fillId="5" borderId="12" xfId="0" applyNumberFormat="1" applyFill="1" applyBorder="1"/>
    <xf numFmtId="0" fontId="0" fillId="5" borderId="15" xfId="0" applyFill="1" applyBorder="1"/>
    <xf numFmtId="0" fontId="0" fillId="5" borderId="12" xfId="0" applyFill="1" applyBorder="1"/>
    <xf numFmtId="14" fontId="6" fillId="0" borderId="12" xfId="0" applyNumberFormat="1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20" fontId="6" fillId="0" borderId="92" xfId="0" applyNumberFormat="1" applyFont="1" applyBorder="1" applyAlignment="1">
      <alignment horizontal="center"/>
    </xf>
    <xf numFmtId="14" fontId="6" fillId="0" borderId="92" xfId="0" applyNumberFormat="1" applyFont="1" applyBorder="1" applyAlignment="1">
      <alignment horizontal="center"/>
    </xf>
    <xf numFmtId="20" fontId="6" fillId="0" borderId="22" xfId="0" applyNumberFormat="1" applyFont="1" applyBorder="1" applyAlignment="1">
      <alignment horizontal="center"/>
    </xf>
    <xf numFmtId="14" fontId="6" fillId="0" borderId="22" xfId="0" applyNumberFormat="1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78" xfId="0" applyFont="1" applyBorder="1" applyAlignment="1">
      <alignment horizontal="center"/>
    </xf>
    <xf numFmtId="0" fontId="6" fillId="0" borderId="79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5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166" fontId="4" fillId="5" borderId="1" xfId="1" applyNumberFormat="1" applyFont="1" applyFill="1" applyBorder="1" applyAlignment="1">
      <alignment horizontal="center"/>
    </xf>
    <xf numFmtId="0" fontId="5" fillId="9" borderId="29" xfId="0" applyFont="1" applyFill="1" applyBorder="1" applyAlignment="1">
      <alignment horizontal="center" vertical="center" textRotation="90"/>
    </xf>
    <xf numFmtId="0" fontId="5" fillId="9" borderId="30" xfId="0" applyFont="1" applyFill="1" applyBorder="1" applyAlignment="1">
      <alignment horizontal="center" vertical="center" textRotation="90"/>
    </xf>
    <xf numFmtId="0" fontId="5" fillId="9" borderId="33" xfId="0" applyFont="1" applyFill="1" applyBorder="1" applyAlignment="1">
      <alignment horizontal="center" vertical="center" textRotation="90"/>
    </xf>
    <xf numFmtId="0" fontId="6" fillId="0" borderId="32" xfId="0" applyFont="1" applyBorder="1" applyAlignment="1">
      <alignment horizontal="center"/>
    </xf>
    <xf numFmtId="0" fontId="4" fillId="0" borderId="21" xfId="0" applyFont="1" applyBorder="1"/>
    <xf numFmtId="165" fontId="6" fillId="0" borderId="21" xfId="0" applyNumberFormat="1" applyFont="1" applyBorder="1" applyAlignment="1">
      <alignment horizontal="center"/>
    </xf>
    <xf numFmtId="165" fontId="4" fillId="0" borderId="69" xfId="0" applyNumberFormat="1" applyFont="1" applyBorder="1"/>
    <xf numFmtId="0" fontId="14" fillId="17" borderId="37" xfId="0" applyFont="1" applyFill="1" applyBorder="1" applyAlignment="1">
      <alignment horizontal="center"/>
    </xf>
    <xf numFmtId="0" fontId="14" fillId="17" borderId="6" xfId="0" applyFont="1" applyFill="1" applyBorder="1" applyAlignment="1">
      <alignment horizontal="center"/>
    </xf>
    <xf numFmtId="0" fontId="3" fillId="14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44" fontId="10" fillId="8" borderId="26" xfId="1" applyFont="1" applyFill="1" applyBorder="1" applyAlignment="1">
      <alignment horizontal="center"/>
    </xf>
    <xf numFmtId="166" fontId="4" fillId="5" borderId="26" xfId="0" applyNumberFormat="1" applyFont="1" applyFill="1" applyBorder="1" applyAlignment="1">
      <alignment horizontal="center"/>
    </xf>
    <xf numFmtId="0" fontId="3" fillId="3" borderId="43" xfId="0" applyFont="1" applyFill="1" applyBorder="1" applyAlignment="1">
      <alignment horizontal="center" vertical="center"/>
    </xf>
    <xf numFmtId="0" fontId="3" fillId="5" borderId="44" xfId="0" applyFont="1" applyFill="1" applyBorder="1" applyAlignment="1">
      <alignment horizontal="center" vertical="center"/>
    </xf>
    <xf numFmtId="0" fontId="3" fillId="5" borderId="47" xfId="0" applyFont="1" applyFill="1" applyBorder="1" applyAlignment="1">
      <alignment horizontal="center" vertical="center"/>
    </xf>
    <xf numFmtId="0" fontId="3" fillId="5" borderId="5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 wrapText="1"/>
    </xf>
    <xf numFmtId="0" fontId="3" fillId="8" borderId="25" xfId="0" applyFont="1" applyFill="1" applyBorder="1" applyAlignment="1">
      <alignment horizontal="center" vertical="center"/>
    </xf>
    <xf numFmtId="0" fontId="3" fillId="8" borderId="68" xfId="0" applyFont="1" applyFill="1" applyBorder="1" applyAlignment="1">
      <alignment horizontal="center" vertical="center"/>
    </xf>
    <xf numFmtId="0" fontId="11" fillId="4" borderId="4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14" fontId="0" fillId="5" borderId="1" xfId="0" applyNumberFormat="1" applyFill="1" applyBorder="1"/>
    <xf numFmtId="14" fontId="1" fillId="5" borderId="41" xfId="0" applyNumberFormat="1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0" fillId="5" borderId="1" xfId="0" applyFill="1" applyBorder="1"/>
    <xf numFmtId="0" fontId="1" fillId="5" borderId="1" xfId="0" applyFont="1" applyFill="1" applyBorder="1" applyAlignment="1">
      <alignment vertical="center"/>
    </xf>
    <xf numFmtId="0" fontId="0" fillId="5" borderId="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4" xfId="0" applyFill="1" applyBorder="1"/>
    <xf numFmtId="0" fontId="5" fillId="9" borderId="66" xfId="0" applyFont="1" applyFill="1" applyBorder="1" applyAlignment="1">
      <alignment horizontal="center" vertical="center" textRotation="90"/>
    </xf>
    <xf numFmtId="0" fontId="6" fillId="5" borderId="3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6" fontId="6" fillId="0" borderId="13" xfId="0" applyNumberFormat="1" applyFont="1" applyBorder="1" applyAlignment="1">
      <alignment horizontal="center" vertical="center"/>
    </xf>
    <xf numFmtId="166" fontId="6" fillId="7" borderId="1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2" fontId="6" fillId="5" borderId="3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/>
    </xf>
    <xf numFmtId="0" fontId="13" fillId="17" borderId="37" xfId="0" applyFont="1" applyFill="1" applyBorder="1" applyAlignment="1">
      <alignment horizontal="center"/>
    </xf>
    <xf numFmtId="0" fontId="13" fillId="17" borderId="76" xfId="0" quotePrefix="1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0" borderId="93" xfId="0" applyFont="1" applyBorder="1" applyAlignment="1">
      <alignment horizontal="center"/>
    </xf>
    <xf numFmtId="165" fontId="42" fillId="0" borderId="21" xfId="0" applyNumberFormat="1" applyFont="1" applyBorder="1" applyAlignment="1">
      <alignment horizontal="center"/>
    </xf>
    <xf numFmtId="165" fontId="6" fillId="0" borderId="69" xfId="0" applyNumberFormat="1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165" fontId="6" fillId="0" borderId="26" xfId="0" applyNumberFormat="1" applyFont="1" applyBorder="1" applyAlignment="1">
      <alignment horizontal="center"/>
    </xf>
    <xf numFmtId="165" fontId="6" fillId="0" borderId="70" xfId="0" applyNumberFormat="1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5" fontId="6" fillId="0" borderId="53" xfId="0" applyNumberFormat="1" applyFont="1" applyBorder="1" applyAlignment="1">
      <alignment horizontal="center"/>
    </xf>
    <xf numFmtId="0" fontId="17" fillId="10" borderId="66" xfId="0" applyFont="1" applyFill="1" applyBorder="1" applyAlignment="1">
      <alignment horizontal="center"/>
    </xf>
    <xf numFmtId="0" fontId="17" fillId="10" borderId="46" xfId="0" applyFont="1" applyFill="1" applyBorder="1" applyAlignment="1">
      <alignment horizontal="center"/>
    </xf>
    <xf numFmtId="0" fontId="17" fillId="10" borderId="61" xfId="0" applyFont="1" applyFill="1" applyBorder="1" applyAlignment="1">
      <alignment horizontal="center"/>
    </xf>
    <xf numFmtId="0" fontId="17" fillId="10" borderId="62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80" xfId="0" quotePrefix="1" applyFont="1" applyFill="1" applyBorder="1" applyAlignment="1">
      <alignment horizontal="center"/>
    </xf>
    <xf numFmtId="0" fontId="5" fillId="9" borderId="36" xfId="0" applyFont="1" applyFill="1" applyBorder="1" applyAlignment="1">
      <alignment horizontal="center" vertical="center" textRotation="90"/>
    </xf>
    <xf numFmtId="0" fontId="5" fillId="9" borderId="48" xfId="0" applyFont="1" applyFill="1" applyBorder="1" applyAlignment="1">
      <alignment horizontal="center" vertical="center" textRotation="90"/>
    </xf>
    <xf numFmtId="165" fontId="6" fillId="0" borderId="12" xfId="0" applyNumberFormat="1" applyFont="1" applyBorder="1" applyAlignment="1">
      <alignment horizontal="center"/>
    </xf>
    <xf numFmtId="165" fontId="6" fillId="0" borderId="31" xfId="0" applyNumberFormat="1" applyFont="1" applyBorder="1" applyAlignment="1">
      <alignment horizontal="center"/>
    </xf>
    <xf numFmtId="9" fontId="6" fillId="5" borderId="3" xfId="0" applyNumberFormat="1" applyFont="1" applyFill="1" applyBorder="1" applyAlignment="1">
      <alignment horizontal="center" vertical="center" wrapText="1"/>
    </xf>
    <xf numFmtId="9" fontId="6" fillId="5" borderId="1" xfId="0" applyNumberFormat="1" applyFont="1" applyFill="1" applyBorder="1" applyAlignment="1">
      <alignment horizontal="center" vertical="center" wrapText="1"/>
    </xf>
    <xf numFmtId="0" fontId="6" fillId="0" borderId="38" xfId="0" quotePrefix="1" applyFont="1" applyBorder="1" applyAlignment="1">
      <alignment horizontal="center"/>
    </xf>
    <xf numFmtId="165" fontId="41" fillId="0" borderId="11" xfId="0" applyNumberFormat="1" applyFont="1" applyBorder="1" applyAlignment="1">
      <alignment horizontal="center"/>
    </xf>
    <xf numFmtId="165" fontId="41" fillId="0" borderId="71" xfId="0" applyNumberFormat="1" applyFont="1" applyBorder="1" applyAlignment="1">
      <alignment horizontal="center"/>
    </xf>
    <xf numFmtId="44" fontId="3" fillId="8" borderId="3" xfId="1" applyFont="1" applyFill="1" applyBorder="1" applyAlignment="1">
      <alignment horizontal="center" vertical="center"/>
    </xf>
    <xf numFmtId="44" fontId="3" fillId="8" borderId="1" xfId="1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6" fillId="5" borderId="3" xfId="1" applyNumberFormat="1" applyFont="1" applyFill="1" applyBorder="1" applyAlignment="1">
      <alignment horizontal="center" vertical="center"/>
    </xf>
    <xf numFmtId="0" fontId="6" fillId="5" borderId="1" xfId="1" applyNumberFormat="1" applyFont="1" applyFill="1" applyBorder="1" applyAlignment="1">
      <alignment horizontal="center" vertical="center"/>
    </xf>
    <xf numFmtId="166" fontId="6" fillId="0" borderId="87" xfId="0" applyNumberFormat="1" applyFont="1" applyBorder="1" applyAlignment="1">
      <alignment horizontal="center" vertical="center"/>
    </xf>
    <xf numFmtId="166" fontId="6" fillId="0" borderId="88" xfId="0" applyNumberFormat="1" applyFont="1" applyBorder="1" applyAlignment="1">
      <alignment horizontal="center" vertical="center"/>
    </xf>
    <xf numFmtId="166" fontId="6" fillId="7" borderId="54" xfId="0" applyNumberFormat="1" applyFont="1" applyFill="1" applyBorder="1" applyAlignment="1">
      <alignment horizontal="center" vertical="center"/>
    </xf>
    <xf numFmtId="166" fontId="6" fillId="7" borderId="89" xfId="0" applyNumberFormat="1" applyFont="1" applyFill="1" applyBorder="1" applyAlignment="1">
      <alignment horizontal="center" vertical="center"/>
    </xf>
    <xf numFmtId="166" fontId="6" fillId="7" borderId="40" xfId="0" applyNumberFormat="1" applyFont="1" applyFill="1" applyBorder="1" applyAlignment="1">
      <alignment horizontal="center" vertical="center"/>
    </xf>
    <xf numFmtId="166" fontId="6" fillId="7" borderId="90" xfId="0" applyNumberFormat="1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6" fontId="6" fillId="7" borderId="11" xfId="0" applyNumberFormat="1" applyFont="1" applyFill="1" applyBorder="1" applyAlignment="1">
      <alignment horizontal="center"/>
    </xf>
    <xf numFmtId="166" fontId="3" fillId="7" borderId="11" xfId="0" applyNumberFormat="1" applyFont="1" applyFill="1" applyBorder="1" applyAlignment="1">
      <alignment horizontal="center"/>
    </xf>
    <xf numFmtId="166" fontId="4" fillId="5" borderId="2" xfId="1" applyNumberFormat="1" applyFont="1" applyFill="1" applyBorder="1" applyAlignment="1">
      <alignment horizontal="center"/>
    </xf>
    <xf numFmtId="166" fontId="6" fillId="7" borderId="1" xfId="0" applyNumberFormat="1" applyFont="1" applyFill="1" applyBorder="1" applyAlignment="1">
      <alignment horizontal="center"/>
    </xf>
    <xf numFmtId="0" fontId="3" fillId="13" borderId="14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166" fontId="6" fillId="5" borderId="1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166" fontId="3" fillId="7" borderId="12" xfId="0" applyNumberFormat="1" applyFont="1" applyFill="1" applyBorder="1" applyAlignment="1">
      <alignment horizontal="center"/>
    </xf>
    <xf numFmtId="166" fontId="4" fillId="5" borderId="14" xfId="0" applyNumberFormat="1" applyFont="1" applyFill="1" applyBorder="1" applyAlignment="1">
      <alignment horizontal="center"/>
    </xf>
    <xf numFmtId="0" fontId="3" fillId="3" borderId="63" xfId="0" applyFont="1" applyFill="1" applyBorder="1" applyAlignment="1">
      <alignment horizontal="center" vertical="center"/>
    </xf>
    <xf numFmtId="0" fontId="4" fillId="0" borderId="41" xfId="0" applyFont="1" applyBorder="1"/>
    <xf numFmtId="0" fontId="3" fillId="6" borderId="10" xfId="0" applyFont="1" applyFill="1" applyBorder="1" applyAlignment="1">
      <alignment horizontal="center" vertical="center"/>
    </xf>
    <xf numFmtId="0" fontId="4" fillId="7" borderId="64" xfId="0" applyFont="1" applyFill="1" applyBorder="1"/>
    <xf numFmtId="0" fontId="3" fillId="7" borderId="9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65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3" fillId="8" borderId="67" xfId="0" applyFont="1" applyFill="1" applyBorder="1" applyAlignment="1">
      <alignment horizontal="center" vertical="center" wrapText="1"/>
    </xf>
    <xf numFmtId="0" fontId="4" fillId="8" borderId="82" xfId="0" applyFont="1" applyFill="1" applyBorder="1"/>
    <xf numFmtId="0" fontId="4" fillId="8" borderId="68" xfId="0" applyFont="1" applyFill="1" applyBorder="1"/>
    <xf numFmtId="0" fontId="3" fillId="12" borderId="13" xfId="0" applyFont="1" applyFill="1" applyBorder="1" applyAlignment="1">
      <alignment horizontal="center" vertical="center"/>
    </xf>
    <xf numFmtId="0" fontId="4" fillId="8" borderId="11" xfId="0" applyFont="1" applyFill="1" applyBorder="1"/>
    <xf numFmtId="166" fontId="3" fillId="13" borderId="11" xfId="0" applyNumberFormat="1" applyFont="1" applyFill="1" applyBorder="1" applyAlignment="1">
      <alignment horizontal="center" vertical="center"/>
    </xf>
    <xf numFmtId="166" fontId="3" fillId="13" borderId="18" xfId="0" applyNumberFormat="1" applyFont="1" applyFill="1" applyBorder="1" applyAlignment="1">
      <alignment horizontal="center" vertical="center"/>
    </xf>
    <xf numFmtId="166" fontId="3" fillId="8" borderId="1" xfId="0" applyNumberFormat="1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166" fontId="6" fillId="0" borderId="1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5" fontId="4" fillId="0" borderId="31" xfId="0" applyNumberFormat="1" applyFont="1" applyBorder="1"/>
    <xf numFmtId="0" fontId="3" fillId="14" borderId="23" xfId="0" applyFont="1" applyFill="1" applyBorder="1" applyAlignment="1">
      <alignment horizontal="center" vertical="center" wrapText="1"/>
    </xf>
    <xf numFmtId="0" fontId="3" fillId="14" borderId="13" xfId="0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2" fontId="6" fillId="5" borderId="13" xfId="0" applyNumberFormat="1" applyFont="1" applyFill="1" applyBorder="1" applyAlignment="1">
      <alignment horizontal="center" vertical="center"/>
    </xf>
    <xf numFmtId="2" fontId="6" fillId="5" borderId="11" xfId="0" applyNumberFormat="1" applyFont="1" applyFill="1" applyBorder="1" applyAlignment="1">
      <alignment horizontal="center" vertical="center"/>
    </xf>
    <xf numFmtId="166" fontId="3" fillId="8" borderId="1" xfId="0" applyNumberFormat="1" applyFont="1" applyFill="1" applyBorder="1" applyAlignment="1">
      <alignment horizontal="center"/>
    </xf>
    <xf numFmtId="0" fontId="3" fillId="8" borderId="23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5" fillId="9" borderId="84" xfId="0" applyFont="1" applyFill="1" applyBorder="1" applyAlignment="1">
      <alignment horizontal="center" vertical="center" textRotation="90"/>
    </xf>
    <xf numFmtId="0" fontId="6" fillId="0" borderId="42" xfId="0" applyFont="1" applyBorder="1" applyAlignment="1">
      <alignment horizontal="center"/>
    </xf>
    <xf numFmtId="0" fontId="4" fillId="0" borderId="43" xfId="0" applyFont="1" applyBorder="1"/>
    <xf numFmtId="165" fontId="6" fillId="0" borderId="43" xfId="0" applyNumberFormat="1" applyFont="1" applyBorder="1" applyAlignment="1">
      <alignment horizontal="center"/>
    </xf>
    <xf numFmtId="165" fontId="4" fillId="0" borderId="52" xfId="0" applyNumberFormat="1" applyFont="1" applyBorder="1"/>
    <xf numFmtId="9" fontId="6" fillId="5" borderId="23" xfId="0" applyNumberFormat="1" applyFont="1" applyFill="1" applyBorder="1" applyAlignment="1">
      <alignment horizontal="center" vertical="center" wrapText="1"/>
    </xf>
    <xf numFmtId="9" fontId="6" fillId="5" borderId="13" xfId="0" applyNumberFormat="1" applyFont="1" applyFill="1" applyBorder="1" applyAlignment="1">
      <alignment horizontal="center" vertical="center" wrapText="1"/>
    </xf>
    <xf numFmtId="0" fontId="6" fillId="0" borderId="55" xfId="0" applyFont="1" applyBorder="1" applyAlignment="1">
      <alignment horizontal="center"/>
    </xf>
    <xf numFmtId="0" fontId="4" fillId="0" borderId="1" xfId="0" applyFont="1" applyBorder="1"/>
    <xf numFmtId="165" fontId="4" fillId="0" borderId="53" xfId="0" applyNumberFormat="1" applyFont="1" applyBorder="1"/>
    <xf numFmtId="44" fontId="3" fillId="8" borderId="16" xfId="1" applyFont="1" applyFill="1" applyBorder="1" applyAlignment="1">
      <alignment horizontal="center" vertical="center"/>
    </xf>
    <xf numFmtId="44" fontId="3" fillId="8" borderId="25" xfId="1" applyFont="1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/>
    </xf>
    <xf numFmtId="0" fontId="14" fillId="17" borderId="73" xfId="0" applyFont="1" applyFill="1" applyBorder="1" applyAlignment="1">
      <alignment horizontal="center"/>
    </xf>
    <xf numFmtId="0" fontId="14" fillId="17" borderId="77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 vertical="center"/>
    </xf>
    <xf numFmtId="0" fontId="4" fillId="5" borderId="64" xfId="0" applyFont="1" applyFill="1" applyBorder="1"/>
    <xf numFmtId="0" fontId="3" fillId="5" borderId="9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65" xfId="0" applyFont="1" applyFill="1" applyBorder="1" applyAlignment="1">
      <alignment horizontal="center" vertical="center"/>
    </xf>
    <xf numFmtId="0" fontId="3" fillId="13" borderId="18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/>
    </xf>
    <xf numFmtId="0" fontId="3" fillId="8" borderId="17" xfId="0" applyFont="1" applyFill="1" applyBorder="1" applyAlignment="1">
      <alignment horizontal="center"/>
    </xf>
    <xf numFmtId="166" fontId="3" fillId="13" borderId="14" xfId="0" applyNumberFormat="1" applyFont="1" applyFill="1" applyBorder="1" applyAlignment="1">
      <alignment horizontal="center"/>
    </xf>
    <xf numFmtId="166" fontId="3" fillId="13" borderId="0" xfId="0" applyNumberFormat="1" applyFont="1" applyFill="1" applyAlignment="1">
      <alignment horizontal="center"/>
    </xf>
    <xf numFmtId="166" fontId="3" fillId="18" borderId="1" xfId="0" applyNumberFormat="1" applyFont="1" applyFill="1" applyBorder="1" applyAlignment="1">
      <alignment horizontal="center"/>
    </xf>
    <xf numFmtId="0" fontId="4" fillId="0" borderId="12" xfId="0" applyFont="1" applyBorder="1"/>
    <xf numFmtId="0" fontId="5" fillId="9" borderId="74" xfId="0" applyFont="1" applyFill="1" applyBorder="1" applyAlignment="1">
      <alignment horizontal="center" vertical="center" textRotation="90"/>
    </xf>
    <xf numFmtId="0" fontId="5" fillId="9" borderId="85" xfId="0" applyFont="1" applyFill="1" applyBorder="1" applyAlignment="1">
      <alignment horizontal="center" vertical="center" textRotation="90"/>
    </xf>
    <xf numFmtId="0" fontId="5" fillId="9" borderId="80" xfId="0" applyFont="1" applyFill="1" applyBorder="1" applyAlignment="1">
      <alignment horizontal="center" vertical="center" textRotation="90"/>
    </xf>
    <xf numFmtId="0" fontId="14" fillId="17" borderId="34" xfId="0" applyFont="1" applyFill="1" applyBorder="1" applyAlignment="1">
      <alignment horizontal="center"/>
    </xf>
    <xf numFmtId="0" fontId="14" fillId="17" borderId="50" xfId="0" applyFont="1" applyFill="1" applyBorder="1" applyAlignment="1">
      <alignment horizontal="center"/>
    </xf>
    <xf numFmtId="164" fontId="6" fillId="7" borderId="1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166" fontId="4" fillId="5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0" fontId="14" fillId="17" borderId="35" xfId="0" applyFont="1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0" fontId="3" fillId="7" borderId="12" xfId="0" applyFont="1" applyFill="1" applyBorder="1" applyAlignment="1">
      <alignment horizontal="center"/>
    </xf>
    <xf numFmtId="164" fontId="6" fillId="7" borderId="11" xfId="0" applyNumberFormat="1" applyFont="1" applyFill="1" applyBorder="1" applyAlignment="1">
      <alignment horizontal="center"/>
    </xf>
    <xf numFmtId="164" fontId="3" fillId="7" borderId="11" xfId="0" applyNumberFormat="1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164" fontId="6" fillId="0" borderId="11" xfId="0" applyNumberFormat="1" applyFont="1" applyBorder="1" applyAlignment="1">
      <alignment horizontal="center" vertical="center"/>
    </xf>
    <xf numFmtId="0" fontId="5" fillId="9" borderId="56" xfId="0" applyFont="1" applyFill="1" applyBorder="1" applyAlignment="1">
      <alignment horizontal="center" vertical="center" textRotation="90"/>
    </xf>
    <xf numFmtId="0" fontId="5" fillId="9" borderId="57" xfId="0" applyFont="1" applyFill="1" applyBorder="1" applyAlignment="1">
      <alignment horizontal="center" vertical="center" textRotation="90"/>
    </xf>
    <xf numFmtId="0" fontId="5" fillId="9" borderId="58" xfId="0" applyFont="1" applyFill="1" applyBorder="1" applyAlignment="1">
      <alignment horizontal="center" vertical="center" textRotation="90"/>
    </xf>
    <xf numFmtId="0" fontId="6" fillId="0" borderId="64" xfId="0" applyFont="1" applyBorder="1" applyAlignment="1">
      <alignment horizontal="center"/>
    </xf>
    <xf numFmtId="165" fontId="6" fillId="0" borderId="9" xfId="0" applyNumberFormat="1" applyFont="1" applyBorder="1" applyAlignment="1">
      <alignment horizontal="center" vertical="center"/>
    </xf>
    <xf numFmtId="165" fontId="6" fillId="0" borderId="86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14" fillId="17" borderId="51" xfId="0" applyFont="1" applyFill="1" applyBorder="1" applyAlignment="1">
      <alignment horizontal="center"/>
    </xf>
    <xf numFmtId="165" fontId="6" fillId="0" borderId="41" xfId="0" applyNumberFormat="1" applyFont="1" applyBorder="1" applyAlignment="1">
      <alignment horizontal="center"/>
    </xf>
    <xf numFmtId="165" fontId="4" fillId="0" borderId="83" xfId="0" applyNumberFormat="1" applyFont="1" applyBorder="1"/>
    <xf numFmtId="0" fontId="17" fillId="10" borderId="60" xfId="0" applyFont="1" applyFill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15" borderId="3" xfId="1" applyNumberFormat="1" applyFont="1" applyFill="1" applyBorder="1" applyAlignment="1">
      <alignment horizontal="center" vertical="center"/>
    </xf>
    <xf numFmtId="0" fontId="6" fillId="15" borderId="1" xfId="1" applyNumberFormat="1" applyFont="1" applyFill="1" applyBorder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47" fillId="5" borderId="0" xfId="0" applyFont="1" applyFill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38" fillId="5" borderId="1" xfId="0" applyFont="1" applyFill="1" applyBorder="1" applyAlignment="1" applyProtection="1">
      <alignment horizontal="center" vertical="center"/>
      <protection locked="0"/>
    </xf>
    <xf numFmtId="0" fontId="22" fillId="20" borderId="0" xfId="0" applyFont="1" applyFill="1" applyAlignment="1">
      <alignment horizontal="center" vertical="center"/>
    </xf>
    <xf numFmtId="0" fontId="40" fillId="16" borderId="1" xfId="0" applyFont="1" applyFill="1" applyBorder="1" applyAlignment="1">
      <alignment horizontal="center" vertical="center" wrapText="1"/>
    </xf>
    <xf numFmtId="0" fontId="23" fillId="22" borderId="0" xfId="0" applyFont="1" applyFill="1" applyAlignment="1">
      <alignment horizontal="center" vertical="center"/>
    </xf>
    <xf numFmtId="0" fontId="41" fillId="16" borderId="2" xfId="0" applyFont="1" applyFill="1" applyBorder="1" applyAlignment="1">
      <alignment horizontal="center"/>
    </xf>
    <xf numFmtId="0" fontId="41" fillId="16" borderId="8" xfId="0" applyFont="1" applyFill="1" applyBorder="1" applyAlignment="1">
      <alignment horizontal="center"/>
    </xf>
    <xf numFmtId="0" fontId="41" fillId="16" borderId="3" xfId="0" applyFont="1" applyFill="1" applyBorder="1" applyAlignment="1">
      <alignment horizontal="center"/>
    </xf>
    <xf numFmtId="0" fontId="40" fillId="24" borderId="66" xfId="0" applyFont="1" applyFill="1" applyBorder="1" applyAlignment="1">
      <alignment horizontal="center"/>
    </xf>
    <xf numFmtId="0" fontId="40" fillId="24" borderId="46" xfId="0" applyFont="1" applyFill="1" applyBorder="1" applyAlignment="1">
      <alignment horizontal="center"/>
    </xf>
    <xf numFmtId="0" fontId="40" fillId="24" borderId="72" xfId="0" applyFont="1" applyFill="1" applyBorder="1" applyAlignment="1">
      <alignment horizontal="center"/>
    </xf>
    <xf numFmtId="0" fontId="28" fillId="21" borderId="43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/>
    </xf>
    <xf numFmtId="0" fontId="34" fillId="5" borderId="0" xfId="0" applyFont="1" applyFill="1"/>
    <xf numFmtId="164" fontId="29" fillId="22" borderId="50" xfId="0" applyNumberFormat="1" applyFont="1" applyFill="1" applyBorder="1" applyAlignment="1">
      <alignment horizontal="center" vertical="center"/>
    </xf>
    <xf numFmtId="164" fontId="29" fillId="22" borderId="51" xfId="0" applyNumberFormat="1" applyFont="1" applyFill="1" applyBorder="1" applyAlignment="1">
      <alignment horizontal="center" vertical="center"/>
    </xf>
    <xf numFmtId="0" fontId="28" fillId="21" borderId="74" xfId="0" applyFont="1" applyFill="1" applyBorder="1" applyAlignment="1">
      <alignment horizontal="center" vertical="center"/>
    </xf>
    <xf numFmtId="0" fontId="28" fillId="21" borderId="44" xfId="0" applyFont="1" applyFill="1" applyBorder="1" applyAlignment="1">
      <alignment horizontal="center" vertical="center"/>
    </xf>
    <xf numFmtId="0" fontId="28" fillId="21" borderId="45" xfId="0" applyFont="1" applyFill="1" applyBorder="1" applyAlignment="1">
      <alignment horizontal="center" vertical="center"/>
    </xf>
    <xf numFmtId="0" fontId="48" fillId="16" borderId="66" xfId="0" applyFont="1" applyFill="1" applyBorder="1" applyAlignment="1">
      <alignment horizontal="center" vertical="top" wrapText="1"/>
    </xf>
    <xf numFmtId="0" fontId="48" fillId="16" borderId="46" xfId="0" applyFont="1" applyFill="1" applyBorder="1" applyAlignment="1">
      <alignment horizontal="center" vertical="top" wrapText="1"/>
    </xf>
    <xf numFmtId="0" fontId="48" fillId="16" borderId="72" xfId="0" applyFont="1" applyFill="1" applyBorder="1" applyAlignment="1">
      <alignment horizontal="center" vertical="top" wrapText="1"/>
    </xf>
    <xf numFmtId="0" fontId="48" fillId="16" borderId="67" xfId="0" applyFont="1" applyFill="1" applyBorder="1" applyAlignment="1">
      <alignment horizontal="center" vertical="top" wrapText="1"/>
    </xf>
    <xf numFmtId="0" fontId="48" fillId="16" borderId="0" xfId="0" applyFont="1" applyFill="1" applyAlignment="1">
      <alignment horizontal="center" vertical="top" wrapText="1"/>
    </xf>
    <xf numFmtId="0" fontId="48" fillId="16" borderId="65" xfId="0" applyFont="1" applyFill="1" applyBorder="1" applyAlignment="1">
      <alignment horizontal="center" vertical="top" wrapText="1"/>
    </xf>
    <xf numFmtId="0" fontId="46" fillId="16" borderId="66" xfId="0" applyFont="1" applyFill="1" applyBorder="1" applyAlignment="1">
      <alignment horizontal="center" vertical="top" wrapText="1"/>
    </xf>
    <xf numFmtId="0" fontId="46" fillId="16" borderId="46" xfId="0" applyFont="1" applyFill="1" applyBorder="1" applyAlignment="1">
      <alignment horizontal="center" vertical="top" wrapText="1"/>
    </xf>
    <xf numFmtId="0" fontId="46" fillId="16" borderId="72" xfId="0" applyFont="1" applyFill="1" applyBorder="1" applyAlignment="1">
      <alignment horizontal="center" vertical="top" wrapText="1"/>
    </xf>
    <xf numFmtId="0" fontId="44" fillId="21" borderId="43" xfId="0" applyFont="1" applyFill="1" applyBorder="1" applyAlignment="1">
      <alignment horizontal="center" vertical="center"/>
    </xf>
    <xf numFmtId="164" fontId="29" fillId="22" borderId="73" xfId="0" applyNumberFormat="1" applyFont="1" applyFill="1" applyBorder="1" applyAlignment="1">
      <alignment vertical="center"/>
    </xf>
    <xf numFmtId="164" fontId="30" fillId="5" borderId="49" xfId="0" applyNumberFormat="1" applyFont="1" applyFill="1" applyBorder="1" applyAlignment="1">
      <alignment vertical="center"/>
    </xf>
    <xf numFmtId="0" fontId="43" fillId="0" borderId="50" xfId="0" applyFont="1" applyBorder="1" applyAlignment="1">
      <alignment horizontal="center"/>
    </xf>
    <xf numFmtId="0" fontId="43" fillId="0" borderId="51" xfId="0" applyFont="1" applyBorder="1" applyAlignment="1">
      <alignment horizontal="center"/>
    </xf>
    <xf numFmtId="0" fontId="20" fillId="22" borderId="0" xfId="0" applyFont="1" applyFill="1" applyAlignment="1">
      <alignment horizontal="center" vertical="center"/>
    </xf>
    <xf numFmtId="0" fontId="0" fillId="5" borderId="0" xfId="0" applyFill="1"/>
    <xf numFmtId="0" fontId="39" fillId="0" borderId="67" xfId="0" applyFont="1" applyBorder="1" applyAlignment="1">
      <alignment horizontal="center" vertical="center" textRotation="90"/>
    </xf>
    <xf numFmtId="0" fontId="39" fillId="0" borderId="0" xfId="0" applyFont="1" applyAlignment="1">
      <alignment horizontal="center" vertical="center" textRotation="90"/>
    </xf>
    <xf numFmtId="0" fontId="39" fillId="0" borderId="65" xfId="0" applyFont="1" applyBorder="1" applyAlignment="1">
      <alignment horizontal="center" vertical="center" textRotation="90"/>
    </xf>
    <xf numFmtId="0" fontId="51" fillId="19" borderId="1" xfId="0" quotePrefix="1" applyFont="1" applyFill="1" applyBorder="1" applyAlignment="1">
      <alignment horizontal="center"/>
    </xf>
    <xf numFmtId="0" fontId="39" fillId="16" borderId="1" xfId="0" applyFont="1" applyFill="1" applyBorder="1" applyAlignment="1">
      <alignment horizontal="center" vertical="center" textRotation="90"/>
    </xf>
    <xf numFmtId="0" fontId="50" fillId="19" borderId="2" xfId="0" quotePrefix="1" applyFont="1" applyFill="1" applyBorder="1" applyAlignment="1">
      <alignment horizontal="center"/>
    </xf>
    <xf numFmtId="0" fontId="50" fillId="19" borderId="3" xfId="0" quotePrefix="1" applyFont="1" applyFill="1" applyBorder="1" applyAlignment="1">
      <alignment horizontal="center"/>
    </xf>
    <xf numFmtId="0" fontId="42" fillId="0" borderId="2" xfId="0" applyFont="1" applyBorder="1" applyAlignment="1">
      <alignment horizontal="center"/>
    </xf>
    <xf numFmtId="0" fontId="42" fillId="0" borderId="3" xfId="0" quotePrefix="1" applyFont="1" applyBorder="1" applyAlignment="1">
      <alignment horizontal="center"/>
    </xf>
    <xf numFmtId="0" fontId="5" fillId="25" borderId="1" xfId="0" applyFont="1" applyFill="1" applyBorder="1" applyAlignment="1">
      <alignment horizontal="center"/>
    </xf>
    <xf numFmtId="0" fontId="45" fillId="25" borderId="1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Normal 2" xfId="2" xr:uid="{15B8C9D5-A54A-431E-BEE8-5E5FD7C17078}"/>
  </cellStyles>
  <dxfs count="93">
    <dxf>
      <font>
        <color theme="0"/>
      </font>
    </dxf>
    <dxf>
      <font>
        <color theme="0"/>
      </font>
    </dxf>
    <dxf>
      <font>
        <color theme="0"/>
      </font>
      <fill>
        <patternFill patternType="solid">
          <bgColor theme="0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D0CECE"/>
      </font>
      <fill>
        <patternFill patternType="solid">
          <bgColor rgb="FFD0CECE"/>
        </patternFill>
      </fill>
    </dxf>
    <dxf>
      <font>
        <color theme="5" tint="0.59996337778862885"/>
      </font>
    </dxf>
    <dxf>
      <font>
        <color theme="5" tint="0.59996337778862885"/>
      </font>
    </dxf>
    <dxf>
      <font>
        <color rgb="FF002060"/>
      </font>
      <fill>
        <patternFill patternType="solid">
          <bgColor rgb="FFFFC000"/>
        </patternFill>
      </fill>
    </dxf>
    <dxf>
      <font>
        <b/>
        <i val="0"/>
        <color rgb="FF0D0D0D"/>
      </font>
      <fill>
        <patternFill patternType="solid"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D0D0D"/>
      </font>
      <fill>
        <patternFill patternType="solid">
          <bgColor rgb="FFD9D9D9"/>
        </patternFill>
      </fill>
    </dxf>
    <dxf>
      <font>
        <color rgb="FF002060"/>
      </font>
      <fill>
        <patternFill patternType="solid">
          <bgColor rgb="FFFFC000"/>
        </patternFill>
      </fill>
    </dxf>
    <dxf>
      <font>
        <b/>
        <i val="0"/>
        <color rgb="FF0D0D0D"/>
      </font>
      <fill>
        <patternFill patternType="solid"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 patternType="solid">
          <bgColor rgb="FFFFC000"/>
        </patternFill>
      </fill>
    </dxf>
    <dxf>
      <font>
        <b/>
        <i val="0"/>
        <color rgb="FF0D0D0D"/>
      </font>
      <fill>
        <patternFill patternType="solid"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 patternType="solid">
          <bgColor rgb="FFFFC000"/>
        </patternFill>
      </fill>
    </dxf>
    <dxf>
      <font>
        <b/>
        <i val="0"/>
        <color rgb="FF0D0D0D"/>
      </font>
      <fill>
        <patternFill patternType="solid"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 patternType="solid">
          <bgColor rgb="FFFFC000"/>
        </patternFill>
      </fill>
    </dxf>
    <dxf>
      <font>
        <b/>
        <i val="0"/>
        <color rgb="FF0D0D0D"/>
      </font>
      <fill>
        <patternFill patternType="solid">
          <bgColor rgb="FFD9D9D9"/>
        </patternFill>
      </fill>
    </dxf>
    <dxf>
      <font>
        <color rgb="FF002060"/>
      </font>
      <fill>
        <patternFill patternType="solid">
          <bgColor rgb="FFFFC000"/>
        </patternFill>
      </fill>
    </dxf>
    <dxf>
      <font>
        <b/>
        <i val="0"/>
        <color rgb="FF0D0D0D"/>
      </font>
      <fill>
        <patternFill patternType="solid"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D0D0D"/>
      </font>
      <fill>
        <patternFill patternType="solid">
          <bgColor rgb="FFD9D9D9"/>
        </patternFill>
      </fill>
    </dxf>
    <dxf>
      <font>
        <color rgb="FF002060"/>
      </font>
      <fill>
        <patternFill patternType="solid"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D0D0D"/>
      </font>
      <fill>
        <patternFill patternType="solid"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D0D0D"/>
      </font>
      <fill>
        <patternFill patternType="solid">
          <bgColor rgb="FFD9D9D9"/>
        </patternFill>
      </fill>
    </dxf>
    <dxf>
      <font>
        <color rgb="FF002060"/>
      </font>
      <fill>
        <patternFill patternType="solid">
          <bgColor rgb="FFFFC000"/>
        </patternFill>
      </fill>
    </dxf>
    <dxf>
      <font>
        <b/>
        <i val="0"/>
        <color rgb="FFFFFF00"/>
      </font>
      <fill>
        <patternFill patternType="solid"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 patternType="solid"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 patternType="solid"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 patternType="solid"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 patternType="solid"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 patternType="solid"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 patternType="solid"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 patternType="solid"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FF00"/>
      </font>
      <fill>
        <patternFill patternType="solid"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 patternType="solid">
          <bgColor rgb="FF0070C0"/>
        </patternFill>
      </fill>
    </dxf>
    <dxf>
      <font>
        <color rgb="FFD0CECE"/>
      </font>
      <fill>
        <patternFill patternType="solid">
          <bgColor rgb="FFD0CECE"/>
        </patternFill>
      </fill>
    </dxf>
    <dxf>
      <font>
        <color rgb="FFD0CECE"/>
      </font>
      <fill>
        <patternFill patternType="solid">
          <bgColor rgb="FFD0CECE"/>
        </patternFill>
      </fill>
    </dxf>
    <dxf>
      <font>
        <color rgb="FFD0CECE"/>
      </font>
      <fill>
        <patternFill patternType="solid">
          <bgColor rgb="FFD0CECE"/>
        </patternFill>
      </fill>
    </dxf>
    <dxf>
      <font>
        <color rgb="FFD0CECE"/>
      </font>
      <fill>
        <patternFill patternType="solid">
          <bgColor rgb="FFD0CECE"/>
        </patternFill>
      </fill>
    </dxf>
    <dxf>
      <font>
        <color rgb="FFD0CECE"/>
      </font>
      <fill>
        <patternFill patternType="solid">
          <bgColor rgb="FFD0CECE"/>
        </patternFill>
      </fill>
    </dxf>
    <dxf>
      <font>
        <color rgb="FFD0CECE"/>
      </font>
      <fill>
        <patternFill patternType="solid">
          <bgColor rgb="FFD0CECE"/>
        </patternFill>
      </fill>
    </dxf>
    <dxf>
      <font>
        <color rgb="FFD0CECE"/>
      </font>
      <fill>
        <patternFill patternType="solid">
          <bgColor rgb="FFD0CECE"/>
        </patternFill>
      </fill>
    </dxf>
    <dxf>
      <font>
        <color rgb="FFD0CECE"/>
      </font>
      <fill>
        <patternFill patternType="solid">
          <bgColor rgb="FFD0CECE"/>
        </patternFill>
      </fill>
    </dxf>
    <dxf>
      <font>
        <color rgb="FFD0CECE"/>
      </font>
      <fill>
        <patternFill patternType="solid">
          <bgColor rgb="FFD0CECE"/>
        </patternFill>
      </fill>
    </dxf>
    <dxf>
      <font>
        <color rgb="FFD0CECE"/>
      </font>
      <fill>
        <patternFill patternType="solid">
          <bgColor rgb="FFD0CE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5" formatCode="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/>
    </dxf>
  </dxfs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fr.wikipedia.org/wiki/Fichier:CBF_2019.svg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6</xdr:row>
      <xdr:rowOff>28575</xdr:rowOff>
    </xdr:from>
    <xdr:to>
      <xdr:col>0</xdr:col>
      <xdr:colOff>504825</xdr:colOff>
      <xdr:row>7</xdr:row>
      <xdr:rowOff>114300</xdr:rowOff>
    </xdr:to>
    <xdr:pic>
      <xdr:nvPicPr>
        <xdr:cNvPr id="13" name="Imagem 1">
          <a:extLst>
            <a:ext uri="{FF2B5EF4-FFF2-40B4-BE49-F238E27FC236}">
              <a16:creationId xmlns:a16="http://schemas.microsoft.com/office/drawing/2014/main" id="{DF983D4D-F61E-4991-BE5F-83F37BDBA5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1304925"/>
          <a:ext cx="428625" cy="2762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76200</xdr:colOff>
      <xdr:row>21</xdr:row>
      <xdr:rowOff>38100</xdr:rowOff>
    </xdr:from>
    <xdr:to>
      <xdr:col>0</xdr:col>
      <xdr:colOff>504825</xdr:colOff>
      <xdr:row>22</xdr:row>
      <xdr:rowOff>133350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30E67CA-E663-4098-9DC2-E1425FA3D480}"/>
            </a:ext>
            <a:ext uri="{147F2762-F138-4A5C-976F-8EAC2B608ADB}">
              <a16:predDERef xmlns:a16="http://schemas.microsoft.com/office/drawing/2014/main" pred="{DF983D4D-F61E-4991-BE5F-83F37BDBA5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3905250"/>
          <a:ext cx="428625" cy="2762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66675</xdr:colOff>
      <xdr:row>36</xdr:row>
      <xdr:rowOff>38100</xdr:rowOff>
    </xdr:from>
    <xdr:to>
      <xdr:col>0</xdr:col>
      <xdr:colOff>495300</xdr:colOff>
      <xdr:row>37</xdr:row>
      <xdr:rowOff>133350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192C6B4-53EA-457D-A76C-92400CB8260E}"/>
            </a:ext>
            <a:ext uri="{147F2762-F138-4A5C-976F-8EAC2B608ADB}">
              <a16:predDERef xmlns:a16="http://schemas.microsoft.com/office/drawing/2014/main" pred="{C30E67CA-E663-4098-9DC2-E1425FA3D48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6743700"/>
          <a:ext cx="428625" cy="2762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51</xdr:row>
      <xdr:rowOff>19050</xdr:rowOff>
    </xdr:from>
    <xdr:to>
      <xdr:col>0</xdr:col>
      <xdr:colOff>514350</xdr:colOff>
      <xdr:row>52</xdr:row>
      <xdr:rowOff>104775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EA6DB8B-9E62-421B-AD8C-59FF0C7D8EE4}"/>
            </a:ext>
            <a:ext uri="{147F2762-F138-4A5C-976F-8EAC2B608ADB}">
              <a16:predDERef xmlns:a16="http://schemas.microsoft.com/office/drawing/2014/main" pred="{A192C6B4-53EA-457D-A76C-92400CB826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9553575"/>
          <a:ext cx="428625" cy="2762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104775</xdr:colOff>
      <xdr:row>66</xdr:row>
      <xdr:rowOff>38100</xdr:rowOff>
    </xdr:from>
    <xdr:to>
      <xdr:col>0</xdr:col>
      <xdr:colOff>533400</xdr:colOff>
      <xdr:row>67</xdr:row>
      <xdr:rowOff>123825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4B8FA2D-FEF2-4534-82D8-2581FFC6A64C}"/>
            </a:ext>
            <a:ext uri="{147F2762-F138-4A5C-976F-8EAC2B608ADB}">
              <a16:predDERef xmlns:a16="http://schemas.microsoft.com/office/drawing/2014/main" pred="{5EA6DB8B-9E62-421B-AD8C-59FF0C7D8E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12372975"/>
          <a:ext cx="428625" cy="2762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81</xdr:row>
      <xdr:rowOff>38100</xdr:rowOff>
    </xdr:from>
    <xdr:to>
      <xdr:col>0</xdr:col>
      <xdr:colOff>514350</xdr:colOff>
      <xdr:row>82</xdr:row>
      <xdr:rowOff>123825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0BC15FC-B884-4878-9F97-8714AB1DA763}"/>
            </a:ext>
            <a:ext uri="{147F2762-F138-4A5C-976F-8EAC2B608ADB}">
              <a16:predDERef xmlns:a16="http://schemas.microsoft.com/office/drawing/2014/main" pred="{04B8FA2D-FEF2-4534-82D8-2581FFC6A6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15173325"/>
          <a:ext cx="428625" cy="2762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104775</xdr:colOff>
      <xdr:row>111</xdr:row>
      <xdr:rowOff>28575</xdr:rowOff>
    </xdr:from>
    <xdr:to>
      <xdr:col>0</xdr:col>
      <xdr:colOff>533400</xdr:colOff>
      <xdr:row>112</xdr:row>
      <xdr:rowOff>114300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1C65DAD-2DF7-4CC4-BEFA-477B0803AC0C}"/>
            </a:ext>
            <a:ext uri="{147F2762-F138-4A5C-976F-8EAC2B608ADB}">
              <a16:predDERef xmlns:a16="http://schemas.microsoft.com/office/drawing/2014/main" pred="{A0BC15FC-B884-4878-9F97-8714AB1DA7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20716875"/>
          <a:ext cx="428625" cy="2762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96</xdr:row>
      <xdr:rowOff>38100</xdr:rowOff>
    </xdr:from>
    <xdr:to>
      <xdr:col>0</xdr:col>
      <xdr:colOff>514350</xdr:colOff>
      <xdr:row>97</xdr:row>
      <xdr:rowOff>123825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B0A0B3-76BF-4BE3-BAE8-F291C4DC58CE}"/>
            </a:ext>
            <a:ext uri="{147F2762-F138-4A5C-976F-8EAC2B608ADB}">
              <a16:predDERef xmlns:a16="http://schemas.microsoft.com/office/drawing/2014/main" pred="{D1C65DAD-2DF7-4CC4-BEFA-477B0803AC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17954625"/>
          <a:ext cx="428625" cy="2762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95250</xdr:colOff>
      <xdr:row>126</xdr:row>
      <xdr:rowOff>47625</xdr:rowOff>
    </xdr:from>
    <xdr:to>
      <xdr:col>0</xdr:col>
      <xdr:colOff>523875</xdr:colOff>
      <xdr:row>127</xdr:row>
      <xdr:rowOff>133350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6D60EED2-05C3-469D-A275-93914AF23C3B}"/>
            </a:ext>
            <a:ext uri="{147F2762-F138-4A5C-976F-8EAC2B608ADB}">
              <a16:predDERef xmlns:a16="http://schemas.microsoft.com/office/drawing/2014/main" pred="{00B0A0B3-76BF-4BE3-BAE8-F291C4DC58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23507700"/>
          <a:ext cx="428625" cy="2762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141</xdr:row>
      <xdr:rowOff>38100</xdr:rowOff>
    </xdr:from>
    <xdr:to>
      <xdr:col>0</xdr:col>
      <xdr:colOff>514350</xdr:colOff>
      <xdr:row>142</xdr:row>
      <xdr:rowOff>123825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261BC26-D357-4A87-A8C0-149F2E64067F}"/>
            </a:ext>
            <a:ext uri="{147F2762-F138-4A5C-976F-8EAC2B608ADB}">
              <a16:predDERef xmlns:a16="http://schemas.microsoft.com/office/drawing/2014/main" pred="{6D60EED2-05C3-469D-A275-93914AF23C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26269950"/>
          <a:ext cx="428625" cy="2762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66675</xdr:colOff>
      <xdr:row>1</xdr:row>
      <xdr:rowOff>95250</xdr:rowOff>
    </xdr:from>
    <xdr:to>
      <xdr:col>0</xdr:col>
      <xdr:colOff>495300</xdr:colOff>
      <xdr:row>3</xdr:row>
      <xdr:rowOff>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524568DB-BDA6-466C-AD74-32806D4732C5}"/>
            </a:ext>
            <a:ext uri="{147F2762-F138-4A5C-976F-8EAC2B608ADB}">
              <a16:predDERef xmlns:a16="http://schemas.microsoft.com/office/drawing/2014/main" pred="{0261BC26-D357-4A87-A8C0-149F2E6406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276225"/>
          <a:ext cx="428625" cy="2762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0</xdr:colOff>
      <xdr:row>2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D2DEC5-18F9-40E7-8887-AD62B65BD7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57150"/>
          <a:ext cx="828675" cy="4953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36</xdr:row>
      <xdr:rowOff>152400</xdr:rowOff>
    </xdr:from>
    <xdr:to>
      <xdr:col>2</xdr:col>
      <xdr:colOff>219075</xdr:colOff>
      <xdr:row>39</xdr:row>
      <xdr:rowOff>9525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2DA17D9-B01F-4297-A14D-885CB2A0157B}"/>
            </a:ext>
            <a:ext uri="{147F2762-F138-4A5C-976F-8EAC2B608ADB}">
              <a16:predDERef xmlns:a16="http://schemas.microsoft.com/office/drawing/2014/main" pred="{42B3E2A0-C1C0-4341-A092-2385F89A0F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7153275"/>
          <a:ext cx="828675" cy="495300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581025</xdr:colOff>
      <xdr:row>0</xdr:row>
      <xdr:rowOff>0</xdr:rowOff>
    </xdr:from>
    <xdr:to>
      <xdr:col>8</xdr:col>
      <xdr:colOff>942975</xdr:colOff>
      <xdr:row>2</xdr:row>
      <xdr:rowOff>171450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1A331B2-E0F5-4A98-BC36-C9F33F18B9AD}"/>
            </a:ext>
            <a:ext uri="{147F2762-F138-4A5C-976F-8EAC2B608ADB}">
              <a16:predDERef xmlns:a16="http://schemas.microsoft.com/office/drawing/2014/main" pred="{B2DA17D9-B01F-4297-A14D-885CB2A01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5448300" y="0"/>
          <a:ext cx="361950" cy="6000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upoaguia-my.sharepoint.com/personal/taiane_alcantara_4bts_com_br/Documents/Planilha%20voos%20individua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voos individuais"/>
    </sheetNames>
    <definedNames>
      <definedName name="Tabela1"/>
    </defined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2:K103" totalsRowCount="1" headerRowDxfId="92" dataDxfId="91">
  <autoFilter ref="A2:K102" xr:uid="{00000000-0009-0000-0100-000001000000}">
    <filterColumn colId="0">
      <filters>
        <filter val="ADRIANO DE CARVALHO"/>
        <filter val="AFONSO VITOR DE OLIVEIRA"/>
        <filter val="ALESSANDRA FRAGA"/>
        <filter val="ALICIO PENA JUNIOR"/>
        <filter val="ALMIR BELARMINO CAETANO"/>
        <filter val="AMIR LOPES"/>
        <filter val="ANA PAULA DA SILVA OLIVEIRA"/>
        <filter val="ARTHUR ALVES JUNIOR"/>
        <filter val="BIANCA TELLES"/>
        <filter val="CHARLES HEBERT FERREIRA CAVALCANTE"/>
        <filter val="CLOVES CAMPOS RATES"/>
        <filter val="CONSUELO BURGOS"/>
        <filter val="DIOGO JOSÉ RIBEIRO CARVALHO"/>
        <filter val="DOUGLAS PRESTO"/>
        <filter val="EDMO OLIVEIRA SANTOS"/>
        <filter val="EDSON REZENDE"/>
        <filter val="EMERSON CARVALHO"/>
        <filter val="Fernando José de Castro Rodrigues"/>
        <filter val="ITALO MEDEIROS"/>
        <filter val="JAILSON MACEDO FREITAS"/>
        <filter val="JOSÉ STEIFEL DE ARAUJO SILVA"/>
        <filter val="JOSEMIR RAULINO DE AMORIM"/>
        <filter val="JULIO CESAR MOTA FERNANDES"/>
        <filter val="LUIZ FERNANDO GOMES MOREIRA"/>
        <filter val="MANOEL PAIXÃO DOS SANTOS"/>
        <filter val="MARCELO BISPO NUNES FILHO"/>
        <filter val="MÁRCIO EUSTÁQUIO SOUSA SANTIAGO"/>
        <filter val="MARCO ANTONIO MARTINS"/>
        <filter val="MARIANNA DIAS"/>
        <filter val="MARILENE TAVARES DA MATTA"/>
        <filter val="MARRUBSON MELO FREITAS"/>
        <filter val="PAULO SILVIO DOS SANTOS"/>
        <filter val="PRISCILA ALMEIRA"/>
        <filter val="RENATA LEITE"/>
        <filter val="RICARDO LUIZ DE ALBUQUERQUE COSTA"/>
        <filter val="RICARDO MARQUES RIBEIRO"/>
        <filter val="ROBERTO PERASSI"/>
        <filter val="RODRIGO PEREIRA JOIA"/>
        <filter val="SANDRO BRECHANE"/>
        <filter val="SEBASTIÃO RUFINO RIBEIRO FILHO"/>
        <filter val="TAIANE ALCANTARA"/>
        <filter val="VLADIMIR PESSOA BASTOS"/>
        <filter val="WALLACE CAMARGO"/>
        <filter val="WILSON MARCELINO DIAS"/>
      </filters>
    </filterColumn>
  </autoFilter>
  <tableColumns count="11">
    <tableColumn id="2" xr3:uid="{00000000-0010-0000-0000-000002000000}" name="Nome Completo" dataDxfId="90" totalsRowDxfId="89">
      <calculatedColumnFormula>'AÉREO REGULAR'!U10</calculatedColumnFormula>
    </tableColumn>
    <tableColumn id="1" xr3:uid="{6F93E176-F4AE-46B7-B644-77BE7F5503EE}" name="DATA" dataDxfId="88">
      <calculatedColumnFormula>'AÉREO REGULAR'!F9</calculatedColumnFormula>
    </tableColumn>
    <tableColumn id="12" xr3:uid="{00000000-0010-0000-0000-00000C000000}" name="Origem" dataDxfId="87" totalsRowDxfId="86">
      <calculatedColumnFormula>'AÉREO REGULAR'!G9</calculatedColumnFormula>
    </tableColumn>
    <tableColumn id="13" xr3:uid="{00000000-0010-0000-0000-00000D000000}" name="Destino" dataDxfId="85" totalsRowDxfId="84">
      <calculatedColumnFormula>'AÉREO REGULAR'!$H$9</calculatedColumnFormula>
    </tableColumn>
    <tableColumn id="3" xr3:uid="{CB49D5B6-31C3-4D18-9803-C7E4E7647A2F}" name="Saída " dataDxfId="83">
      <calculatedColumnFormula>'AÉREO REGULAR'!I9</calculatedColumnFormula>
    </tableColumn>
    <tableColumn id="4" xr3:uid="{D06DE211-4DFE-4171-8CD4-7AA0087FA5A3}" name="Chegada" dataDxfId="82">
      <calculatedColumnFormula>'AÉREO REGULAR'!J9</calculatedColumnFormula>
    </tableColumn>
    <tableColumn id="5" xr3:uid="{28331020-6A7C-46EB-ACF6-49199569CD81}" name="DATA2" dataDxfId="81">
      <calculatedColumnFormula>'AÉREO REGULAR'!F13</calculatedColumnFormula>
    </tableColumn>
    <tableColumn id="6" xr3:uid="{C227FB74-7297-4866-9C3C-EF6BE6A54781}" name="Origem2" dataDxfId="80">
      <calculatedColumnFormula>'AÉREO REGULAR'!G13</calculatedColumnFormula>
    </tableColumn>
    <tableColumn id="7" xr3:uid="{4F5BCA7E-5148-4615-A710-F9F0F8F0DF01}" name="Destino2" dataDxfId="79">
      <calculatedColumnFormula>IF('AÉREO REGULAR'!$A$8=0,'AÉREO REGULAR'!H15,IF('AÉREO REGULAR'!$A$8=1,'AÉREO REGULAR'!H14,'AÉREO REGULAR'!H13))</calculatedColumnFormula>
    </tableColumn>
    <tableColumn id="8" xr3:uid="{26FC410A-958B-4ADE-9A0A-35310DA72D3B}" name="Saída 2" dataDxfId="78">
      <calculatedColumnFormula>'AÉREO REGULAR'!I13</calculatedColumnFormula>
    </tableColumn>
    <tableColumn id="9" xr3:uid="{8C0AE03E-2C90-4764-A441-3EAABBB5DF44}" name="Chegada2" dataDxfId="77">
      <calculatedColumnFormula>IF('AÉREO REGULAR'!$A$8=0,'AÉREO REGULAR'!J15,IF('AÉREO REGULAR'!$A$8=1,'AÉREO REGULAR'!J14,'AÉREO REGULAR'!J13))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4bts.com.b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AA87-E110-44FC-8EF2-933E2489F8C3}">
  <dimension ref="A1:X200"/>
  <sheetViews>
    <sheetView tabSelected="1" workbookViewId="0">
      <selection activeCell="AD19" sqref="AD19"/>
    </sheetView>
  </sheetViews>
  <sheetFormatPr defaultRowHeight="14.5" x14ac:dyDescent="0.35"/>
  <cols>
    <col min="6" max="6" width="12" customWidth="1"/>
    <col min="7" max="7" width="10.81640625" customWidth="1"/>
    <col min="9" max="9" width="13.81640625" bestFit="1" customWidth="1"/>
    <col min="10" max="10" width="10.453125" customWidth="1"/>
    <col min="11" max="11" width="3.453125" customWidth="1"/>
    <col min="14" max="14" width="16.453125" customWidth="1"/>
    <col min="17" max="17" width="10.81640625" customWidth="1"/>
    <col min="18" max="18" width="12.81640625" customWidth="1"/>
    <col min="21" max="21" width="43" customWidth="1"/>
    <col min="22" max="22" width="19.26953125" customWidth="1"/>
    <col min="23" max="23" width="20.81640625" customWidth="1"/>
    <col min="24" max="24" width="25.1796875" customWidth="1"/>
  </cols>
  <sheetData>
    <row r="1" spans="1:24" x14ac:dyDescent="0.35">
      <c r="A1" s="7"/>
      <c r="B1" s="8"/>
      <c r="C1" s="208" t="s">
        <v>0</v>
      </c>
      <c r="D1" s="208"/>
      <c r="E1" s="208"/>
      <c r="F1" s="208"/>
      <c r="G1" s="208"/>
      <c r="H1" s="208" t="s">
        <v>1</v>
      </c>
      <c r="I1" s="208"/>
      <c r="J1" s="208"/>
      <c r="K1" s="208"/>
      <c r="L1" s="208"/>
      <c r="M1" s="208" t="s">
        <v>2</v>
      </c>
      <c r="N1" s="208"/>
      <c r="O1" s="208"/>
      <c r="P1" s="216" t="s">
        <v>3</v>
      </c>
      <c r="Q1" s="216"/>
      <c r="R1" s="216" t="s">
        <v>4</v>
      </c>
      <c r="S1" s="216"/>
      <c r="T1" s="215" t="s">
        <v>5</v>
      </c>
      <c r="U1" s="215"/>
      <c r="V1" s="38"/>
      <c r="W1" s="215" t="s">
        <v>6</v>
      </c>
      <c r="X1" s="216"/>
    </row>
    <row r="2" spans="1:24" ht="14.5" customHeight="1" x14ac:dyDescent="0.35">
      <c r="A2" s="3"/>
      <c r="B2" s="162">
        <v>1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8"/>
      <c r="Q2" s="217"/>
      <c r="R2" s="219"/>
      <c r="S2" s="219"/>
      <c r="T2" s="220"/>
      <c r="U2" s="220"/>
      <c r="V2" s="43"/>
      <c r="W2" s="221"/>
      <c r="X2" s="221"/>
    </row>
    <row r="3" spans="1:24" ht="15" customHeight="1" x14ac:dyDescent="0.35">
      <c r="A3" s="3"/>
      <c r="B3" s="163">
        <v>2</v>
      </c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25"/>
      <c r="Q3" s="226"/>
      <c r="R3" s="226"/>
      <c r="S3" s="226"/>
      <c r="T3" s="227"/>
      <c r="U3" s="227"/>
      <c r="V3" s="45"/>
      <c r="W3" s="222"/>
      <c r="X3" s="222"/>
    </row>
    <row r="4" spans="1:24" ht="14.5" customHeight="1" x14ac:dyDescent="0.35">
      <c r="A4" s="3"/>
      <c r="B4" s="162">
        <v>3</v>
      </c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8"/>
      <c r="Q4" s="217"/>
      <c r="R4" s="217"/>
      <c r="S4" s="217"/>
      <c r="T4" s="223"/>
      <c r="U4" s="223"/>
      <c r="V4" s="44"/>
      <c r="W4" s="224"/>
      <c r="X4" s="224"/>
    </row>
    <row r="5" spans="1:24" ht="23.25" customHeight="1" x14ac:dyDescent="0.35">
      <c r="A5" s="3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3"/>
      <c r="U5" s="3"/>
      <c r="V5" s="3"/>
      <c r="W5" s="69"/>
      <c r="X5" s="69"/>
    </row>
    <row r="6" spans="1:24" ht="19.5" customHeight="1" x14ac:dyDescent="0.45">
      <c r="A6" s="252" t="s">
        <v>7</v>
      </c>
      <c r="B6" s="253"/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4"/>
      <c r="O6" s="254"/>
      <c r="P6" s="254"/>
      <c r="Q6" s="254"/>
      <c r="R6" s="254"/>
      <c r="S6" s="254"/>
      <c r="T6" s="254"/>
      <c r="U6" s="254"/>
      <c r="V6" s="254"/>
      <c r="W6" s="254"/>
      <c r="X6" s="255"/>
    </row>
    <row r="7" spans="1:24" x14ac:dyDescent="0.35">
      <c r="A7" s="127">
        <f>COUNTIF(B9:C11," ")</f>
        <v>0</v>
      </c>
      <c r="B7" s="202" t="s">
        <v>8</v>
      </c>
      <c r="C7" s="202"/>
      <c r="D7" s="202"/>
      <c r="E7" s="203"/>
      <c r="F7" s="203"/>
      <c r="G7" s="147" t="s">
        <v>9</v>
      </c>
      <c r="H7" s="203"/>
      <c r="I7" s="204"/>
      <c r="J7" s="204"/>
      <c r="K7" s="205"/>
      <c r="L7" s="206" t="s">
        <v>10</v>
      </c>
      <c r="M7" s="207"/>
      <c r="N7" s="169"/>
      <c r="O7" s="3"/>
      <c r="P7" s="3"/>
      <c r="Q7" s="3"/>
      <c r="R7" s="70"/>
      <c r="S7" s="3"/>
      <c r="T7" s="212" t="s">
        <v>11</v>
      </c>
      <c r="U7" s="212"/>
      <c r="V7" s="212"/>
      <c r="W7" s="212"/>
      <c r="X7" s="212"/>
    </row>
    <row r="8" spans="1:24" ht="15" customHeight="1" x14ac:dyDescent="0.35">
      <c r="A8" s="128">
        <f>COUNTIF(B13:C15," ")</f>
        <v>0</v>
      </c>
      <c r="B8" s="209" t="s">
        <v>12</v>
      </c>
      <c r="C8" s="209"/>
      <c r="D8" s="15" t="s">
        <v>13</v>
      </c>
      <c r="E8" s="4" t="s">
        <v>14</v>
      </c>
      <c r="F8" s="4" t="s">
        <v>15</v>
      </c>
      <c r="G8" s="15" t="s">
        <v>16</v>
      </c>
      <c r="H8" s="4" t="s">
        <v>17</v>
      </c>
      <c r="I8" s="5" t="s">
        <v>18</v>
      </c>
      <c r="J8" s="210" t="s">
        <v>19</v>
      </c>
      <c r="K8" s="211"/>
      <c r="L8" s="279" t="s">
        <v>20</v>
      </c>
      <c r="M8" s="280"/>
      <c r="N8" s="74" t="s">
        <v>21</v>
      </c>
      <c r="O8" s="281" t="s">
        <v>22</v>
      </c>
      <c r="P8" s="281"/>
      <c r="Q8" s="282" t="s">
        <v>23</v>
      </c>
      <c r="R8" s="282"/>
      <c r="S8" s="3"/>
      <c r="T8" s="213"/>
      <c r="U8" s="213"/>
      <c r="V8" s="213"/>
      <c r="W8" s="213"/>
      <c r="X8" s="214"/>
    </row>
    <row r="9" spans="1:24" x14ac:dyDescent="0.35">
      <c r="A9" s="189" t="s">
        <v>24</v>
      </c>
      <c r="B9" s="243"/>
      <c r="C9" s="243"/>
      <c r="D9" s="23"/>
      <c r="E9" s="175"/>
      <c r="F9" s="176"/>
      <c r="G9" s="22"/>
      <c r="H9" s="22"/>
      <c r="I9" s="41"/>
      <c r="J9" s="244"/>
      <c r="K9" s="245"/>
      <c r="L9" s="229" t="s">
        <v>25</v>
      </c>
      <c r="M9" s="230"/>
      <c r="N9" s="231"/>
      <c r="O9" s="232">
        <f>N9/L11</f>
        <v>0</v>
      </c>
      <c r="P9" s="232"/>
      <c r="Q9" s="233"/>
      <c r="R9" s="233"/>
      <c r="S9" s="3"/>
      <c r="T9" s="16"/>
      <c r="U9" s="58" t="s">
        <v>26</v>
      </c>
      <c r="V9" s="17" t="s">
        <v>27</v>
      </c>
      <c r="W9" s="60" t="s">
        <v>28</v>
      </c>
      <c r="X9" s="62" t="s">
        <v>29</v>
      </c>
    </row>
    <row r="10" spans="1:24" x14ac:dyDescent="0.35">
      <c r="A10" s="189"/>
      <c r="B10" s="246"/>
      <c r="C10" s="246"/>
      <c r="D10" s="172"/>
      <c r="E10" s="173"/>
      <c r="F10" s="174"/>
      <c r="G10" s="6"/>
      <c r="H10" s="6"/>
      <c r="I10" s="42"/>
      <c r="J10" s="247"/>
      <c r="K10" s="248"/>
      <c r="L10" s="234" t="s">
        <v>30</v>
      </c>
      <c r="M10" s="235"/>
      <c r="N10" s="231"/>
      <c r="O10" s="232"/>
      <c r="P10" s="232"/>
      <c r="Q10" s="233"/>
      <c r="R10" s="233"/>
      <c r="S10" s="3"/>
      <c r="T10" s="9">
        <v>1</v>
      </c>
      <c r="U10" s="153"/>
      <c r="V10" s="11"/>
      <c r="W10" s="61"/>
      <c r="X10" s="63"/>
    </row>
    <row r="11" spans="1:24" x14ac:dyDescent="0.35">
      <c r="A11" s="189"/>
      <c r="B11" s="249"/>
      <c r="C11" s="249"/>
      <c r="D11" s="46"/>
      <c r="E11" s="47"/>
      <c r="F11" s="171"/>
      <c r="G11" s="6"/>
      <c r="H11" s="6"/>
      <c r="I11" s="73"/>
      <c r="J11" s="250"/>
      <c r="K11" s="251"/>
      <c r="L11" s="236">
        <v>0.9</v>
      </c>
      <c r="M11" s="237"/>
      <c r="N11" s="75" t="s">
        <v>31</v>
      </c>
      <c r="O11" s="238" t="s">
        <v>32</v>
      </c>
      <c r="P11" s="238"/>
      <c r="Q11" s="185" t="s">
        <v>33</v>
      </c>
      <c r="R11" s="185"/>
      <c r="S11" s="3"/>
      <c r="T11" s="9">
        <v>2</v>
      </c>
      <c r="U11" s="153"/>
      <c r="V11" s="11"/>
      <c r="W11" s="61"/>
      <c r="X11" s="64"/>
    </row>
    <row r="12" spans="1:24" x14ac:dyDescent="0.35">
      <c r="A12" s="228"/>
      <c r="B12" s="239" t="str">
        <f>IF(A7=2,"DIRETO","CONEXÃO")</f>
        <v>CONEXÃO</v>
      </c>
      <c r="C12" s="240"/>
      <c r="D12" s="135" t="s">
        <v>34</v>
      </c>
      <c r="E12" s="180"/>
      <c r="F12" s="180"/>
      <c r="G12" s="180"/>
      <c r="H12" s="180"/>
      <c r="I12" s="180"/>
      <c r="J12" s="180"/>
      <c r="K12" s="181"/>
      <c r="L12" s="241" t="s">
        <v>35</v>
      </c>
      <c r="M12" s="242"/>
      <c r="N12" s="231"/>
      <c r="O12" s="232">
        <f>N12+I17</f>
        <v>0</v>
      </c>
      <c r="P12" s="232"/>
      <c r="Q12" s="233"/>
      <c r="R12" s="233"/>
      <c r="S12" s="3"/>
      <c r="T12" s="9">
        <v>3</v>
      </c>
      <c r="U12" s="153"/>
      <c r="V12" s="11"/>
      <c r="W12" s="61"/>
      <c r="X12" s="64"/>
    </row>
    <row r="13" spans="1:24" x14ac:dyDescent="0.35">
      <c r="A13" s="189" t="s">
        <v>36</v>
      </c>
      <c r="B13" s="192"/>
      <c r="C13" s="192"/>
      <c r="D13" s="22"/>
      <c r="E13" s="134"/>
      <c r="F13" s="171"/>
      <c r="G13" s="46"/>
      <c r="H13" s="46"/>
      <c r="I13" s="39"/>
      <c r="J13" s="261"/>
      <c r="K13" s="262"/>
      <c r="L13" s="263">
        <v>0.06</v>
      </c>
      <c r="M13" s="264"/>
      <c r="N13" s="231"/>
      <c r="O13" s="232"/>
      <c r="P13" s="232"/>
      <c r="Q13" s="233"/>
      <c r="R13" s="233"/>
      <c r="S13" s="3"/>
      <c r="T13" s="9">
        <v>4</v>
      </c>
      <c r="U13" s="153"/>
      <c r="V13" s="11"/>
      <c r="W13" s="61"/>
      <c r="X13" s="64"/>
    </row>
    <row r="14" spans="1:24" x14ac:dyDescent="0.35">
      <c r="A14" s="259"/>
      <c r="B14" s="265"/>
      <c r="C14" s="265"/>
      <c r="D14" s="106"/>
      <c r="E14" s="107"/>
      <c r="F14" s="108"/>
      <c r="G14" s="109"/>
      <c r="H14" s="110"/>
      <c r="I14" s="111"/>
      <c r="J14" s="266"/>
      <c r="K14" s="267"/>
      <c r="L14" s="268" t="s">
        <v>37</v>
      </c>
      <c r="M14" s="269"/>
      <c r="N14" s="75" t="s">
        <v>38</v>
      </c>
      <c r="O14" s="238" t="s">
        <v>39</v>
      </c>
      <c r="P14" s="238"/>
      <c r="Q14" s="185" t="s">
        <v>40</v>
      </c>
      <c r="R14" s="185"/>
      <c r="S14" s="3"/>
      <c r="T14" s="9">
        <v>5</v>
      </c>
      <c r="U14" s="154"/>
      <c r="V14" s="11"/>
      <c r="W14" s="61"/>
      <c r="X14" s="64"/>
    </row>
    <row r="15" spans="1:24" x14ac:dyDescent="0.35">
      <c r="A15" s="259"/>
      <c r="B15" s="270"/>
      <c r="C15" s="270"/>
      <c r="D15" s="133"/>
      <c r="E15" s="107"/>
      <c r="F15" s="112"/>
      <c r="G15" s="113"/>
      <c r="H15" s="110"/>
      <c r="I15" s="111"/>
      <c r="J15" s="266"/>
      <c r="K15" s="267"/>
      <c r="L15" s="271"/>
      <c r="M15" s="272"/>
      <c r="N15" s="273">
        <f>SUM(N9+N12+I17)</f>
        <v>0</v>
      </c>
      <c r="O15" s="275">
        <f>(O9*L13)+O9+O12</f>
        <v>0</v>
      </c>
      <c r="P15" s="276"/>
      <c r="Q15" s="256"/>
      <c r="R15" s="256"/>
      <c r="S15" s="3"/>
      <c r="T15" s="9">
        <v>6</v>
      </c>
      <c r="U15" s="154"/>
      <c r="V15" s="11"/>
      <c r="W15" s="61"/>
      <c r="X15" s="65"/>
    </row>
    <row r="16" spans="1:24" x14ac:dyDescent="0.35">
      <c r="A16" s="260"/>
      <c r="B16" s="257" t="str">
        <f>IF(A8=2,"DIRETO","CONEXÃO")</f>
        <v>CONEXÃO</v>
      </c>
      <c r="C16" s="258"/>
      <c r="D16" s="130" t="s">
        <v>34</v>
      </c>
      <c r="E16" s="180"/>
      <c r="F16" s="180"/>
      <c r="G16" s="180"/>
      <c r="H16" s="180"/>
      <c r="I16" s="180"/>
      <c r="J16" s="180"/>
      <c r="K16" s="181"/>
      <c r="L16" s="271"/>
      <c r="M16" s="272"/>
      <c r="N16" s="274"/>
      <c r="O16" s="277"/>
      <c r="P16" s="278"/>
      <c r="Q16" s="256"/>
      <c r="R16" s="256"/>
      <c r="S16" s="3"/>
      <c r="T16" s="9">
        <v>7</v>
      </c>
      <c r="U16" s="153"/>
      <c r="V16" s="11"/>
      <c r="W16" s="61"/>
      <c r="X16" s="64"/>
    </row>
    <row r="17" spans="1:24" x14ac:dyDescent="0.35">
      <c r="A17" s="198" t="s">
        <v>41</v>
      </c>
      <c r="B17" s="198"/>
      <c r="C17" s="198"/>
      <c r="D17" s="198"/>
      <c r="E17" s="199"/>
      <c r="F17" s="199"/>
      <c r="G17" s="200" t="s">
        <v>42</v>
      </c>
      <c r="H17" s="200"/>
      <c r="I17" s="201"/>
      <c r="J17" s="201"/>
      <c r="K17" s="292"/>
      <c r="L17" s="185" t="s">
        <v>43</v>
      </c>
      <c r="M17" s="185"/>
      <c r="N17" s="75" t="s">
        <v>44</v>
      </c>
      <c r="O17" s="287" t="s">
        <v>45</v>
      </c>
      <c r="P17" s="287"/>
      <c r="Q17" s="288" t="s">
        <v>46</v>
      </c>
      <c r="R17" s="288"/>
      <c r="S17" s="3"/>
      <c r="T17" s="9">
        <v>8</v>
      </c>
      <c r="U17" s="153"/>
      <c r="V17" s="11"/>
      <c r="W17" s="61"/>
      <c r="X17" s="64"/>
    </row>
    <row r="18" spans="1:24" x14ac:dyDescent="0.35">
      <c r="A18" s="185" t="s">
        <v>47</v>
      </c>
      <c r="B18" s="185"/>
      <c r="C18" s="185"/>
      <c r="D18" s="185"/>
      <c r="E18" s="289"/>
      <c r="F18" s="289"/>
      <c r="G18" s="187" t="s">
        <v>48</v>
      </c>
      <c r="H18" s="187"/>
      <c r="I18" s="184" t="s">
        <v>49</v>
      </c>
      <c r="J18" s="184"/>
      <c r="K18" s="290"/>
      <c r="L18" s="264">
        <v>0</v>
      </c>
      <c r="M18" s="264"/>
      <c r="N18" s="76">
        <f>(N9+N12+I17)*L15</f>
        <v>0</v>
      </c>
      <c r="O18" s="283">
        <f>O15*L15</f>
        <v>0</v>
      </c>
      <c r="P18" s="283"/>
      <c r="Q18" s="291">
        <f>O18-N18</f>
        <v>0</v>
      </c>
      <c r="R18" s="291"/>
      <c r="S18" s="3"/>
      <c r="T18" s="9">
        <v>9</v>
      </c>
      <c r="U18" s="154"/>
      <c r="V18" s="11"/>
      <c r="W18" s="61"/>
      <c r="X18" s="64"/>
    </row>
    <row r="19" spans="1:24" x14ac:dyDescent="0.35">
      <c r="A19" s="185" t="s">
        <v>50</v>
      </c>
      <c r="B19" s="185"/>
      <c r="C19" s="185"/>
      <c r="D19" s="185"/>
      <c r="E19" s="186"/>
      <c r="F19" s="186"/>
      <c r="G19" s="187" t="s">
        <v>51</v>
      </c>
      <c r="H19" s="187"/>
      <c r="I19" s="188" t="s">
        <v>52</v>
      </c>
      <c r="J19" s="188"/>
      <c r="K19" s="285"/>
      <c r="L19" s="286">
        <f>N19*L18</f>
        <v>0</v>
      </c>
      <c r="M19" s="286"/>
      <c r="N19" s="167">
        <f>N18*E19</f>
        <v>0</v>
      </c>
      <c r="O19" s="283">
        <f>O18*E19</f>
        <v>0</v>
      </c>
      <c r="P19" s="283"/>
      <c r="Q19" s="284">
        <f>O19-N19</f>
        <v>0</v>
      </c>
      <c r="R19" s="284"/>
      <c r="S19" s="3"/>
      <c r="T19" s="9">
        <v>10</v>
      </c>
      <c r="U19" s="77"/>
      <c r="V19" s="11"/>
      <c r="W19" s="61"/>
      <c r="X19" s="64"/>
    </row>
    <row r="20" spans="1:24" s="25" customFormat="1" ht="33.75" customHeight="1" x14ac:dyDescent="0.35">
      <c r="J20" s="36"/>
      <c r="L20" s="156"/>
      <c r="M20" s="156"/>
      <c r="N20" s="156"/>
      <c r="O20" s="156"/>
      <c r="P20" s="156"/>
      <c r="Q20" s="156"/>
      <c r="R20" s="156"/>
    </row>
    <row r="21" spans="1:24" s="25" customFormat="1" ht="19.5" customHeight="1" x14ac:dyDescent="0.45">
      <c r="A21" s="382" t="s">
        <v>53</v>
      </c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5"/>
    </row>
    <row r="22" spans="1:24" ht="14.5" customHeight="1" x14ac:dyDescent="0.35">
      <c r="A22" s="37">
        <f>COUNTIF(B24:C26," ")</f>
        <v>0</v>
      </c>
      <c r="B22" s="293" t="s">
        <v>8</v>
      </c>
      <c r="C22" s="294"/>
      <c r="D22" s="294"/>
      <c r="E22" s="295"/>
      <c r="F22" s="296"/>
      <c r="G22" s="71" t="s">
        <v>9</v>
      </c>
      <c r="H22" s="297"/>
      <c r="I22" s="298"/>
      <c r="J22" s="299"/>
      <c r="K22" s="300"/>
      <c r="L22" s="301" t="s">
        <v>10</v>
      </c>
      <c r="M22" s="302"/>
      <c r="N22" s="168"/>
      <c r="O22" s="157"/>
      <c r="P22" s="157"/>
      <c r="Q22" s="157"/>
      <c r="R22" s="158"/>
      <c r="S22" s="3"/>
      <c r="T22" s="212" t="s">
        <v>11</v>
      </c>
      <c r="U22" s="212"/>
      <c r="V22" s="212"/>
      <c r="W22" s="212"/>
      <c r="X22" s="212"/>
    </row>
    <row r="23" spans="1:24" x14ac:dyDescent="0.35">
      <c r="A23" s="37">
        <f>COUNTIF(B28:C30, " ")</f>
        <v>0</v>
      </c>
      <c r="B23" s="303" t="s">
        <v>12</v>
      </c>
      <c r="C23" s="304"/>
      <c r="D23" s="15" t="s">
        <v>13</v>
      </c>
      <c r="E23" s="4" t="s">
        <v>14</v>
      </c>
      <c r="F23" s="4" t="s">
        <v>15</v>
      </c>
      <c r="G23" s="4" t="s">
        <v>16</v>
      </c>
      <c r="H23" s="4" t="s">
        <v>17</v>
      </c>
      <c r="I23" s="5" t="s">
        <v>18</v>
      </c>
      <c r="J23" s="210" t="s">
        <v>19</v>
      </c>
      <c r="K23" s="305"/>
      <c r="L23" s="306" t="s">
        <v>20</v>
      </c>
      <c r="M23" s="307"/>
      <c r="N23" s="159" t="s">
        <v>21</v>
      </c>
      <c r="O23" s="308" t="s">
        <v>22</v>
      </c>
      <c r="P23" s="309"/>
      <c r="Q23" s="310" t="s">
        <v>23</v>
      </c>
      <c r="R23" s="310"/>
      <c r="S23" s="3"/>
      <c r="T23" s="213"/>
      <c r="U23" s="213"/>
      <c r="V23" s="213"/>
      <c r="W23" s="213"/>
      <c r="X23" s="213"/>
    </row>
    <row r="24" spans="1:24" x14ac:dyDescent="0.35">
      <c r="A24" s="189" t="s">
        <v>24</v>
      </c>
      <c r="B24" s="192"/>
      <c r="C24" s="193"/>
      <c r="D24" s="22"/>
      <c r="E24" s="138"/>
      <c r="F24" s="54"/>
      <c r="G24" s="115"/>
      <c r="H24" s="24"/>
      <c r="I24" s="41"/>
      <c r="J24" s="194"/>
      <c r="K24" s="195"/>
      <c r="L24" s="311" t="s">
        <v>25</v>
      </c>
      <c r="M24" s="312"/>
      <c r="N24" s="313"/>
      <c r="O24" s="232">
        <f>N24/L26</f>
        <v>0</v>
      </c>
      <c r="P24" s="232"/>
      <c r="Q24" s="314"/>
      <c r="R24" s="314"/>
      <c r="S24" s="3"/>
      <c r="T24" s="16"/>
      <c r="U24" s="58" t="s">
        <v>26</v>
      </c>
      <c r="V24" s="17" t="s">
        <v>27</v>
      </c>
      <c r="W24" s="17" t="s">
        <v>28</v>
      </c>
      <c r="X24" s="17" t="s">
        <v>29</v>
      </c>
    </row>
    <row r="25" spans="1:24" x14ac:dyDescent="0.35">
      <c r="A25" s="190"/>
      <c r="B25" s="315"/>
      <c r="C25" s="316"/>
      <c r="D25" s="6"/>
      <c r="E25" s="21"/>
      <c r="F25" s="20"/>
      <c r="G25" s="40"/>
      <c r="H25" s="47"/>
      <c r="I25" s="39"/>
      <c r="J25" s="261"/>
      <c r="K25" s="317"/>
      <c r="L25" s="318" t="s">
        <v>30</v>
      </c>
      <c r="M25" s="319"/>
      <c r="N25" s="313"/>
      <c r="O25" s="232"/>
      <c r="P25" s="232"/>
      <c r="Q25" s="314"/>
      <c r="R25" s="314"/>
      <c r="S25" s="3"/>
      <c r="T25" s="9">
        <v>1</v>
      </c>
      <c r="U25" s="154"/>
      <c r="V25" s="11"/>
      <c r="W25" s="11"/>
      <c r="X25" s="59"/>
    </row>
    <row r="26" spans="1:24" x14ac:dyDescent="0.35">
      <c r="A26" s="190"/>
      <c r="B26" s="320"/>
      <c r="C26" s="321"/>
      <c r="D26" s="129"/>
      <c r="E26" s="21"/>
      <c r="F26" s="20"/>
      <c r="G26" s="40"/>
      <c r="H26" s="47"/>
      <c r="I26" s="39"/>
      <c r="J26" s="261"/>
      <c r="K26" s="317"/>
      <c r="L26" s="322">
        <v>0.9</v>
      </c>
      <c r="M26" s="323"/>
      <c r="N26" s="160" t="s">
        <v>31</v>
      </c>
      <c r="O26" s="238" t="s">
        <v>32</v>
      </c>
      <c r="P26" s="238"/>
      <c r="Q26" s="324" t="s">
        <v>33</v>
      </c>
      <c r="R26" s="324"/>
      <c r="S26" s="3"/>
      <c r="T26" s="9">
        <v>2</v>
      </c>
      <c r="U26" s="153"/>
      <c r="V26" s="11"/>
      <c r="W26" s="11"/>
      <c r="X26" s="11"/>
    </row>
    <row r="27" spans="1:24" x14ac:dyDescent="0.35">
      <c r="A27" s="191"/>
      <c r="B27" s="196" t="str">
        <f>IF(A22=2,"DIRETO","CONEXÃO")</f>
        <v>CONEXÃO</v>
      </c>
      <c r="C27" s="197"/>
      <c r="D27" s="135" t="s">
        <v>34</v>
      </c>
      <c r="E27" s="182"/>
      <c r="F27" s="182"/>
      <c r="G27" s="182"/>
      <c r="H27" s="182"/>
      <c r="I27" s="182"/>
      <c r="J27" s="182"/>
      <c r="K27" s="183"/>
      <c r="L27" s="325" t="s">
        <v>35</v>
      </c>
      <c r="M27" s="326"/>
      <c r="N27" s="313"/>
      <c r="O27" s="232">
        <f>N27+I32</f>
        <v>0</v>
      </c>
      <c r="P27" s="232"/>
      <c r="Q27" s="233"/>
      <c r="R27" s="233"/>
      <c r="S27" s="3"/>
      <c r="T27" s="9">
        <v>3</v>
      </c>
      <c r="U27" s="153"/>
      <c r="V27" s="11"/>
      <c r="W27" s="11"/>
      <c r="X27" s="11"/>
    </row>
    <row r="28" spans="1:24" ht="14.5" customHeight="1" x14ac:dyDescent="0.35">
      <c r="A28" s="189" t="s">
        <v>36</v>
      </c>
      <c r="B28" s="328"/>
      <c r="C28" s="329"/>
      <c r="D28" s="53"/>
      <c r="E28" s="53"/>
      <c r="F28" s="54"/>
      <c r="G28" s="55"/>
      <c r="H28" s="56"/>
      <c r="I28" s="57"/>
      <c r="J28" s="330"/>
      <c r="K28" s="331"/>
      <c r="L28" s="332">
        <v>0.06</v>
      </c>
      <c r="M28" s="333"/>
      <c r="N28" s="313"/>
      <c r="O28" s="232"/>
      <c r="P28" s="232"/>
      <c r="Q28" s="233"/>
      <c r="R28" s="233"/>
      <c r="S28" s="3"/>
      <c r="T28" s="9">
        <v>4</v>
      </c>
      <c r="U28" s="153"/>
      <c r="V28" s="11"/>
      <c r="W28" s="11"/>
      <c r="X28" s="11"/>
    </row>
    <row r="29" spans="1:24" x14ac:dyDescent="0.35">
      <c r="A29" s="190"/>
      <c r="B29" s="334"/>
      <c r="C29" s="335"/>
      <c r="D29" s="19"/>
      <c r="E29" s="19"/>
      <c r="F29" s="20"/>
      <c r="G29" s="50"/>
      <c r="H29" s="51"/>
      <c r="I29" s="52"/>
      <c r="J29" s="250"/>
      <c r="K29" s="336"/>
      <c r="L29" s="337" t="s">
        <v>37</v>
      </c>
      <c r="M29" s="338"/>
      <c r="N29" s="160" t="s">
        <v>38</v>
      </c>
      <c r="O29" s="238" t="s">
        <v>39</v>
      </c>
      <c r="P29" s="238"/>
      <c r="Q29" s="324" t="s">
        <v>40</v>
      </c>
      <c r="R29" s="324"/>
      <c r="S29" s="3"/>
      <c r="T29" s="9">
        <v>5</v>
      </c>
      <c r="U29" s="153"/>
      <c r="V29" s="11"/>
      <c r="W29" s="11"/>
      <c r="X29" s="11"/>
    </row>
    <row r="30" spans="1:24" x14ac:dyDescent="0.35">
      <c r="A30" s="190"/>
      <c r="B30" s="334"/>
      <c r="C30" s="335"/>
      <c r="D30" s="137"/>
      <c r="E30" s="19"/>
      <c r="F30" s="20"/>
      <c r="G30" s="50"/>
      <c r="H30" s="51"/>
      <c r="I30" s="52"/>
      <c r="J30" s="250"/>
      <c r="K30" s="336"/>
      <c r="L30" s="271"/>
      <c r="M30" s="272"/>
      <c r="N30" s="273">
        <f>SUM(N24+N27+I32)</f>
        <v>0</v>
      </c>
      <c r="O30" s="275">
        <f>(O24*L28)+O24+O27</f>
        <v>0</v>
      </c>
      <c r="P30" s="276"/>
      <c r="Q30" s="339"/>
      <c r="R30" s="314"/>
      <c r="S30" s="3"/>
      <c r="T30" s="9">
        <v>6</v>
      </c>
      <c r="U30" s="153"/>
      <c r="V30" s="11"/>
      <c r="W30" s="11"/>
      <c r="X30" s="11"/>
    </row>
    <row r="31" spans="1:24" x14ac:dyDescent="0.35">
      <c r="A31" s="327"/>
      <c r="B31" s="340" t="str">
        <f>IF(A23=2,"DIRETO","CONEXÃO")</f>
        <v>CONEXÃO</v>
      </c>
      <c r="C31" s="341"/>
      <c r="D31" s="130" t="s">
        <v>34</v>
      </c>
      <c r="E31" s="180"/>
      <c r="F31" s="180"/>
      <c r="G31" s="180"/>
      <c r="H31" s="180"/>
      <c r="I31" s="180"/>
      <c r="J31" s="180"/>
      <c r="K31" s="181"/>
      <c r="L31" s="271"/>
      <c r="M31" s="272"/>
      <c r="N31" s="274"/>
      <c r="O31" s="277"/>
      <c r="P31" s="278"/>
      <c r="Q31" s="339"/>
      <c r="R31" s="314"/>
      <c r="S31" s="3"/>
      <c r="T31" s="9">
        <v>7</v>
      </c>
      <c r="U31" s="153"/>
      <c r="V31" s="11"/>
      <c r="W31" s="11"/>
      <c r="X31" s="11"/>
    </row>
    <row r="32" spans="1:24" x14ac:dyDescent="0.35">
      <c r="A32" s="198" t="s">
        <v>41</v>
      </c>
      <c r="B32" s="198"/>
      <c r="C32" s="198"/>
      <c r="D32" s="198"/>
      <c r="E32" s="199"/>
      <c r="F32" s="199"/>
      <c r="G32" s="200" t="s">
        <v>42</v>
      </c>
      <c r="H32" s="200"/>
      <c r="I32" s="201"/>
      <c r="J32" s="201"/>
      <c r="K32" s="201"/>
      <c r="L32" s="349" t="s">
        <v>43</v>
      </c>
      <c r="M32" s="350"/>
      <c r="N32" s="160" t="s">
        <v>44</v>
      </c>
      <c r="O32" s="351" t="s">
        <v>45</v>
      </c>
      <c r="P32" s="352"/>
      <c r="Q32" s="353" t="s">
        <v>46</v>
      </c>
      <c r="R32" s="353"/>
      <c r="S32" s="3"/>
      <c r="T32" s="9">
        <v>8</v>
      </c>
      <c r="U32" s="153"/>
      <c r="V32" s="11"/>
      <c r="W32" s="11"/>
      <c r="X32" s="11"/>
    </row>
    <row r="33" spans="1:24" x14ac:dyDescent="0.35">
      <c r="A33" s="185" t="s">
        <v>47</v>
      </c>
      <c r="B33" s="185"/>
      <c r="C33" s="185"/>
      <c r="D33" s="185"/>
      <c r="E33" s="289"/>
      <c r="F33" s="289"/>
      <c r="G33" s="187" t="s">
        <v>48</v>
      </c>
      <c r="H33" s="187"/>
      <c r="I33" s="184" t="s">
        <v>49</v>
      </c>
      <c r="J33" s="184"/>
      <c r="K33" s="184"/>
      <c r="L33" s="264">
        <v>0</v>
      </c>
      <c r="M33" s="264"/>
      <c r="N33" s="76">
        <f>N30*L30</f>
        <v>0</v>
      </c>
      <c r="O33" s="283">
        <f>O30*L30</f>
        <v>0</v>
      </c>
      <c r="P33" s="283"/>
      <c r="Q33" s="291">
        <f>O33-N33</f>
        <v>0</v>
      </c>
      <c r="R33" s="291"/>
      <c r="S33" s="3"/>
      <c r="T33" s="9">
        <v>9</v>
      </c>
      <c r="U33" s="153"/>
      <c r="V33" s="11"/>
      <c r="W33" s="11"/>
      <c r="X33" s="11"/>
    </row>
    <row r="34" spans="1:24" ht="14.5" customHeight="1" x14ac:dyDescent="0.35">
      <c r="A34" s="185" t="s">
        <v>50</v>
      </c>
      <c r="B34" s="185"/>
      <c r="C34" s="185"/>
      <c r="D34" s="185"/>
      <c r="E34" s="186"/>
      <c r="F34" s="186"/>
      <c r="G34" s="187" t="s">
        <v>51</v>
      </c>
      <c r="H34" s="187"/>
      <c r="I34" s="188" t="s">
        <v>52</v>
      </c>
      <c r="J34" s="188"/>
      <c r="K34" s="188"/>
      <c r="L34" s="342">
        <f>N34*L33</f>
        <v>0</v>
      </c>
      <c r="M34" s="342"/>
      <c r="N34" s="76">
        <f>N33*E34</f>
        <v>0</v>
      </c>
      <c r="O34" s="283">
        <f>O33*E34</f>
        <v>0</v>
      </c>
      <c r="P34" s="283"/>
      <c r="Q34" s="284">
        <f>O34-N34</f>
        <v>0</v>
      </c>
      <c r="R34" s="284"/>
      <c r="S34" s="3"/>
      <c r="T34" s="9">
        <v>10</v>
      </c>
      <c r="U34" s="77"/>
      <c r="V34" s="11"/>
      <c r="W34" s="11"/>
      <c r="X34" s="11"/>
    </row>
    <row r="35" spans="1:24" s="25" customFormat="1" ht="36" customHeight="1" x14ac:dyDescent="0.35"/>
    <row r="36" spans="1:24" s="25" customFormat="1" ht="19.5" customHeight="1" x14ac:dyDescent="0.45">
      <c r="A36" s="382" t="s">
        <v>54</v>
      </c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54"/>
      <c r="N36" s="254"/>
      <c r="O36" s="254"/>
      <c r="P36" s="254"/>
      <c r="Q36" s="254"/>
      <c r="R36" s="254"/>
      <c r="S36" s="254"/>
      <c r="T36" s="254"/>
      <c r="U36" s="254"/>
      <c r="V36" s="254"/>
      <c r="W36" s="254"/>
      <c r="X36" s="255"/>
    </row>
    <row r="37" spans="1:24" ht="14.5" customHeight="1" x14ac:dyDescent="0.35">
      <c r="A37" s="37">
        <f>COUNTIF(B39:C41," ")</f>
        <v>0</v>
      </c>
      <c r="B37" s="293" t="s">
        <v>8</v>
      </c>
      <c r="C37" s="294"/>
      <c r="D37" s="294"/>
      <c r="E37" s="343"/>
      <c r="F37" s="344"/>
      <c r="G37" s="71" t="s">
        <v>9</v>
      </c>
      <c r="H37" s="345"/>
      <c r="I37" s="343"/>
      <c r="J37" s="346"/>
      <c r="K37" s="347"/>
      <c r="L37" s="301" t="s">
        <v>10</v>
      </c>
      <c r="M37" s="302"/>
      <c r="N37" s="170"/>
      <c r="O37" s="3"/>
      <c r="P37" s="3"/>
      <c r="Q37" s="3"/>
      <c r="R37" s="70"/>
      <c r="S37" s="3"/>
      <c r="T37" s="212" t="s">
        <v>11</v>
      </c>
      <c r="U37" s="212"/>
      <c r="V37" s="212"/>
      <c r="W37" s="212"/>
      <c r="X37" s="212"/>
    </row>
    <row r="38" spans="1:24" x14ac:dyDescent="0.35">
      <c r="A38" s="37">
        <f>COUNTIF(B43:C45, " ")</f>
        <v>0</v>
      </c>
      <c r="B38" s="303" t="s">
        <v>12</v>
      </c>
      <c r="C38" s="304"/>
      <c r="D38" s="15" t="s">
        <v>13</v>
      </c>
      <c r="E38" s="4" t="s">
        <v>14</v>
      </c>
      <c r="F38" s="4" t="s">
        <v>15</v>
      </c>
      <c r="G38" s="4" t="s">
        <v>16</v>
      </c>
      <c r="H38" s="4" t="s">
        <v>17</v>
      </c>
      <c r="I38" s="5" t="s">
        <v>18</v>
      </c>
      <c r="J38" s="210" t="s">
        <v>19</v>
      </c>
      <c r="K38" s="305"/>
      <c r="L38" s="306" t="s">
        <v>20</v>
      </c>
      <c r="M38" s="307"/>
      <c r="N38" s="10" t="s">
        <v>21</v>
      </c>
      <c r="O38" s="281" t="s">
        <v>22</v>
      </c>
      <c r="P38" s="348"/>
      <c r="Q38" s="282" t="s">
        <v>23</v>
      </c>
      <c r="R38" s="282"/>
      <c r="S38" s="3"/>
      <c r="T38" s="213"/>
      <c r="U38" s="213"/>
      <c r="V38" s="213"/>
      <c r="W38" s="213"/>
      <c r="X38" s="213"/>
    </row>
    <row r="39" spans="1:24" x14ac:dyDescent="0.35">
      <c r="A39" s="189" t="s">
        <v>24</v>
      </c>
      <c r="B39" s="192"/>
      <c r="C39" s="193"/>
      <c r="D39" s="22"/>
      <c r="E39" s="138"/>
      <c r="F39" s="54"/>
      <c r="G39" s="115"/>
      <c r="H39" s="24"/>
      <c r="I39" s="41"/>
      <c r="J39" s="194"/>
      <c r="K39" s="195"/>
      <c r="L39" s="311" t="s">
        <v>25</v>
      </c>
      <c r="M39" s="312"/>
      <c r="N39" s="313"/>
      <c r="O39" s="232">
        <f>N39/L41</f>
        <v>0</v>
      </c>
      <c r="P39" s="232"/>
      <c r="Q39" s="314"/>
      <c r="R39" s="314"/>
      <c r="S39" s="3"/>
      <c r="T39" s="16"/>
      <c r="U39" s="58" t="s">
        <v>26</v>
      </c>
      <c r="V39" s="17" t="s">
        <v>27</v>
      </c>
      <c r="W39" s="17" t="s">
        <v>28</v>
      </c>
      <c r="X39" s="17" t="s">
        <v>29</v>
      </c>
    </row>
    <row r="40" spans="1:24" x14ac:dyDescent="0.35">
      <c r="A40" s="190"/>
      <c r="B40" s="249"/>
      <c r="C40" s="354"/>
      <c r="D40" s="46"/>
      <c r="E40" s="48"/>
      <c r="F40" s="49"/>
      <c r="G40" s="40"/>
      <c r="H40" s="47"/>
      <c r="I40" s="39"/>
      <c r="J40" s="261"/>
      <c r="K40" s="317"/>
      <c r="L40" s="318" t="s">
        <v>30</v>
      </c>
      <c r="M40" s="319"/>
      <c r="N40" s="313"/>
      <c r="O40" s="232"/>
      <c r="P40" s="232"/>
      <c r="Q40" s="314"/>
      <c r="R40" s="314"/>
      <c r="S40" s="3"/>
      <c r="T40" s="9">
        <v>1</v>
      </c>
      <c r="U40" s="153"/>
      <c r="V40" s="11"/>
      <c r="W40" s="11"/>
      <c r="X40" s="59"/>
    </row>
    <row r="41" spans="1:24" x14ac:dyDescent="0.35">
      <c r="A41" s="190"/>
      <c r="B41" s="249"/>
      <c r="C41" s="354"/>
      <c r="D41" s="134"/>
      <c r="E41" s="48"/>
      <c r="F41" s="49"/>
      <c r="G41" s="40"/>
      <c r="H41" s="47"/>
      <c r="I41" s="39"/>
      <c r="J41" s="261"/>
      <c r="K41" s="317"/>
      <c r="L41" s="322">
        <v>0.9</v>
      </c>
      <c r="M41" s="323"/>
      <c r="N41" s="160" t="s">
        <v>31</v>
      </c>
      <c r="O41" s="238" t="s">
        <v>32</v>
      </c>
      <c r="P41" s="238"/>
      <c r="Q41" s="324" t="s">
        <v>33</v>
      </c>
      <c r="R41" s="324"/>
      <c r="S41" s="3"/>
      <c r="T41" s="9">
        <v>2</v>
      </c>
      <c r="U41" s="153"/>
      <c r="V41" s="11"/>
      <c r="W41" s="11"/>
      <c r="X41" s="11"/>
    </row>
    <row r="42" spans="1:24" x14ac:dyDescent="0.35">
      <c r="A42" s="191"/>
      <c r="B42" s="196" t="str">
        <f>IF(A37=2,"DIRETO","CONEXÃO")</f>
        <v>CONEXÃO</v>
      </c>
      <c r="C42" s="197"/>
      <c r="D42" s="135" t="s">
        <v>34</v>
      </c>
      <c r="E42" s="182"/>
      <c r="F42" s="182"/>
      <c r="G42" s="182"/>
      <c r="H42" s="182"/>
      <c r="I42" s="182"/>
      <c r="J42" s="182"/>
      <c r="K42" s="183"/>
      <c r="L42" s="325" t="s">
        <v>35</v>
      </c>
      <c r="M42" s="326"/>
      <c r="N42" s="313"/>
      <c r="O42" s="232">
        <f>N42+I47</f>
        <v>0</v>
      </c>
      <c r="P42" s="232"/>
      <c r="Q42" s="233"/>
      <c r="R42" s="233"/>
      <c r="S42" s="3"/>
      <c r="T42" s="9">
        <v>3</v>
      </c>
      <c r="U42" s="153"/>
      <c r="V42" s="11"/>
      <c r="W42" s="11"/>
      <c r="X42" s="11"/>
    </row>
    <row r="43" spans="1:24" ht="14.5" customHeight="1" x14ac:dyDescent="0.35">
      <c r="A43" s="355" t="s">
        <v>36</v>
      </c>
      <c r="B43" s="328"/>
      <c r="C43" s="329"/>
      <c r="D43" s="53"/>
      <c r="E43" s="53"/>
      <c r="F43" s="54"/>
      <c r="G43" s="55"/>
      <c r="H43" s="56"/>
      <c r="I43" s="57"/>
      <c r="J43" s="330"/>
      <c r="K43" s="331"/>
      <c r="L43" s="332">
        <v>0.06</v>
      </c>
      <c r="M43" s="333"/>
      <c r="N43" s="313"/>
      <c r="O43" s="232"/>
      <c r="P43" s="232"/>
      <c r="Q43" s="233"/>
      <c r="R43" s="233"/>
      <c r="S43" s="3"/>
      <c r="T43" s="9">
        <v>4</v>
      </c>
      <c r="U43" s="153"/>
      <c r="V43" s="11"/>
      <c r="W43" s="11"/>
      <c r="X43" s="11"/>
    </row>
    <row r="44" spans="1:24" x14ac:dyDescent="0.35">
      <c r="A44" s="356"/>
      <c r="B44" s="334"/>
      <c r="C44" s="335"/>
      <c r="D44" s="19"/>
      <c r="E44" s="19"/>
      <c r="F44" s="20"/>
      <c r="G44" s="50"/>
      <c r="H44" s="51"/>
      <c r="I44" s="52"/>
      <c r="J44" s="250"/>
      <c r="K44" s="336"/>
      <c r="L44" s="337" t="s">
        <v>37</v>
      </c>
      <c r="M44" s="338"/>
      <c r="N44" s="160" t="s">
        <v>38</v>
      </c>
      <c r="O44" s="238" t="s">
        <v>39</v>
      </c>
      <c r="P44" s="238"/>
      <c r="Q44" s="324" t="s">
        <v>40</v>
      </c>
      <c r="R44" s="324"/>
      <c r="S44" s="3"/>
      <c r="T44" s="9">
        <v>5</v>
      </c>
      <c r="U44" s="153"/>
      <c r="V44" s="11"/>
      <c r="W44" s="11"/>
      <c r="X44" s="11"/>
    </row>
    <row r="45" spans="1:24" x14ac:dyDescent="0.35">
      <c r="A45" s="356"/>
      <c r="B45" s="334"/>
      <c r="C45" s="335"/>
      <c r="D45" s="137"/>
      <c r="E45" s="19"/>
      <c r="F45" s="20"/>
      <c r="G45" s="50"/>
      <c r="H45" s="51"/>
      <c r="I45" s="52"/>
      <c r="J45" s="250"/>
      <c r="K45" s="336"/>
      <c r="L45" s="271"/>
      <c r="M45" s="272"/>
      <c r="N45" s="273">
        <f>SUM(N39+N42+I47)</f>
        <v>0</v>
      </c>
      <c r="O45" s="275">
        <f>(O39*L43)+O39+O42</f>
        <v>0</v>
      </c>
      <c r="P45" s="276"/>
      <c r="Q45" s="339"/>
      <c r="R45" s="314"/>
      <c r="S45" s="3"/>
      <c r="T45" s="9">
        <v>6</v>
      </c>
      <c r="U45" s="153"/>
      <c r="V45" s="11"/>
      <c r="W45" s="11"/>
      <c r="X45" s="11"/>
    </row>
    <row r="46" spans="1:24" x14ac:dyDescent="0.35">
      <c r="A46" s="357"/>
      <c r="B46" s="358" t="str">
        <f>IF(A38=2,"DIRETO","CONEXÃO")</f>
        <v>CONEXÃO</v>
      </c>
      <c r="C46" s="359"/>
      <c r="D46" s="130" t="s">
        <v>34</v>
      </c>
      <c r="E46" s="180"/>
      <c r="F46" s="180"/>
      <c r="G46" s="180"/>
      <c r="H46" s="180"/>
      <c r="I46" s="180"/>
      <c r="J46" s="180"/>
      <c r="K46" s="181"/>
      <c r="L46" s="271"/>
      <c r="M46" s="272"/>
      <c r="N46" s="274"/>
      <c r="O46" s="277"/>
      <c r="P46" s="278"/>
      <c r="Q46" s="339"/>
      <c r="R46" s="314"/>
      <c r="S46" s="3"/>
      <c r="T46" s="9">
        <v>7</v>
      </c>
      <c r="U46" s="153"/>
      <c r="V46" s="11"/>
      <c r="W46" s="11"/>
      <c r="X46" s="11"/>
    </row>
    <row r="47" spans="1:24" x14ac:dyDescent="0.35">
      <c r="A47" s="198" t="s">
        <v>41</v>
      </c>
      <c r="B47" s="198"/>
      <c r="C47" s="198"/>
      <c r="D47" s="198"/>
      <c r="E47" s="199"/>
      <c r="F47" s="199"/>
      <c r="G47" s="200" t="s">
        <v>42</v>
      </c>
      <c r="H47" s="200"/>
      <c r="I47" s="201"/>
      <c r="J47" s="201"/>
      <c r="K47" s="201"/>
      <c r="L47" s="349" t="s">
        <v>43</v>
      </c>
      <c r="M47" s="350"/>
      <c r="N47" s="160" t="s">
        <v>44</v>
      </c>
      <c r="O47" s="351" t="s">
        <v>45</v>
      </c>
      <c r="P47" s="352"/>
      <c r="Q47" s="353" t="s">
        <v>46</v>
      </c>
      <c r="R47" s="353"/>
      <c r="S47" s="3"/>
      <c r="T47" s="9">
        <v>8</v>
      </c>
      <c r="U47" s="153"/>
      <c r="V47" s="11"/>
      <c r="W47" s="11"/>
      <c r="X47" s="11"/>
    </row>
    <row r="48" spans="1:24" x14ac:dyDescent="0.35">
      <c r="A48" s="185" t="s">
        <v>47</v>
      </c>
      <c r="B48" s="185"/>
      <c r="C48" s="185"/>
      <c r="D48" s="185"/>
      <c r="E48" s="289"/>
      <c r="F48" s="289"/>
      <c r="G48" s="187" t="s">
        <v>48</v>
      </c>
      <c r="H48" s="187"/>
      <c r="I48" s="184" t="s">
        <v>49</v>
      </c>
      <c r="J48" s="184"/>
      <c r="K48" s="184"/>
      <c r="L48" s="332">
        <v>0</v>
      </c>
      <c r="M48" s="333"/>
      <c r="N48" s="76">
        <f>N45*L45</f>
        <v>0</v>
      </c>
      <c r="O48" s="283">
        <f>O45*L45</f>
        <v>0</v>
      </c>
      <c r="P48" s="283"/>
      <c r="Q48" s="291">
        <f>O48-N48</f>
        <v>0</v>
      </c>
      <c r="R48" s="291"/>
      <c r="S48" s="3"/>
      <c r="T48" s="9">
        <v>9</v>
      </c>
      <c r="U48" s="155"/>
      <c r="V48" s="11"/>
      <c r="W48" s="11"/>
      <c r="X48" s="11"/>
    </row>
    <row r="49" spans="1:24" x14ac:dyDescent="0.35">
      <c r="A49" s="185" t="s">
        <v>50</v>
      </c>
      <c r="B49" s="185"/>
      <c r="C49" s="185"/>
      <c r="D49" s="185"/>
      <c r="E49" s="362"/>
      <c r="F49" s="362"/>
      <c r="G49" s="187" t="s">
        <v>51</v>
      </c>
      <c r="H49" s="187"/>
      <c r="I49" s="188" t="s">
        <v>52</v>
      </c>
      <c r="J49" s="188"/>
      <c r="K49" s="188"/>
      <c r="L49" s="360">
        <f>N49*L48</f>
        <v>0</v>
      </c>
      <c r="M49" s="361"/>
      <c r="N49" s="13">
        <f>N48*E49</f>
        <v>0</v>
      </c>
      <c r="O49" s="283">
        <f>O48*E49</f>
        <v>0</v>
      </c>
      <c r="P49" s="283"/>
      <c r="Q49" s="284">
        <f>O49-N49</f>
        <v>0</v>
      </c>
      <c r="R49" s="284"/>
      <c r="S49" s="3"/>
      <c r="T49" s="9">
        <v>10</v>
      </c>
      <c r="U49" s="155"/>
      <c r="V49" s="11"/>
      <c r="W49" s="11"/>
      <c r="X49" s="11"/>
    </row>
    <row r="50" spans="1:24" s="25" customFormat="1" ht="35.25" customHeight="1" x14ac:dyDescent="0.35"/>
    <row r="51" spans="1:24" s="25" customFormat="1" ht="19.5" customHeight="1" x14ac:dyDescent="0.45">
      <c r="A51" s="382" t="s">
        <v>55</v>
      </c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5"/>
    </row>
    <row r="52" spans="1:24" x14ac:dyDescent="0.35">
      <c r="A52" s="37">
        <f>COUNTIF(B54:C56," ")</f>
        <v>0</v>
      </c>
      <c r="B52" s="293" t="s">
        <v>8</v>
      </c>
      <c r="C52" s="294"/>
      <c r="D52" s="294"/>
      <c r="E52" s="295"/>
      <c r="F52" s="296"/>
      <c r="G52" s="71" t="s">
        <v>9</v>
      </c>
      <c r="H52" s="297"/>
      <c r="I52" s="298"/>
      <c r="J52" s="299"/>
      <c r="K52" s="300"/>
      <c r="L52" s="301" t="s">
        <v>10</v>
      </c>
      <c r="M52" s="302"/>
      <c r="N52" s="72"/>
      <c r="O52" s="3"/>
      <c r="P52" s="3"/>
      <c r="Q52" s="3"/>
      <c r="R52" s="70"/>
      <c r="S52" s="3"/>
      <c r="T52" s="212" t="s">
        <v>11</v>
      </c>
      <c r="U52" s="212"/>
      <c r="V52" s="212"/>
      <c r="W52" s="212"/>
      <c r="X52" s="212"/>
    </row>
    <row r="53" spans="1:24" x14ac:dyDescent="0.35">
      <c r="A53" s="37">
        <f>COUNTIF(B58:C60, " ")</f>
        <v>0</v>
      </c>
      <c r="B53" s="303" t="s">
        <v>12</v>
      </c>
      <c r="C53" s="304"/>
      <c r="D53" s="15" t="s">
        <v>13</v>
      </c>
      <c r="E53" s="4" t="s">
        <v>14</v>
      </c>
      <c r="F53" s="4" t="s">
        <v>15</v>
      </c>
      <c r="G53" s="4" t="s">
        <v>16</v>
      </c>
      <c r="H53" s="4" t="s">
        <v>17</v>
      </c>
      <c r="I53" s="5" t="s">
        <v>18</v>
      </c>
      <c r="J53" s="210" t="s">
        <v>19</v>
      </c>
      <c r="K53" s="305"/>
      <c r="L53" s="306" t="s">
        <v>20</v>
      </c>
      <c r="M53" s="307"/>
      <c r="N53" s="10" t="s">
        <v>21</v>
      </c>
      <c r="O53" s="281" t="s">
        <v>22</v>
      </c>
      <c r="P53" s="348"/>
      <c r="Q53" s="282" t="s">
        <v>23</v>
      </c>
      <c r="R53" s="282"/>
      <c r="S53" s="3"/>
      <c r="T53" s="213"/>
      <c r="U53" s="213"/>
      <c r="V53" s="213"/>
      <c r="W53" s="213"/>
      <c r="X53" s="213"/>
    </row>
    <row r="54" spans="1:24" x14ac:dyDescent="0.35">
      <c r="A54" s="189" t="s">
        <v>24</v>
      </c>
      <c r="B54" s="192"/>
      <c r="C54" s="193"/>
      <c r="D54" s="22"/>
      <c r="E54" s="138"/>
      <c r="F54" s="54"/>
      <c r="G54" s="115"/>
      <c r="H54" s="24"/>
      <c r="I54" s="41"/>
      <c r="J54" s="194"/>
      <c r="K54" s="195"/>
      <c r="L54" s="311" t="s">
        <v>56</v>
      </c>
      <c r="M54" s="312"/>
      <c r="N54" s="313"/>
      <c r="O54" s="232">
        <f>N54/L56</f>
        <v>0</v>
      </c>
      <c r="P54" s="232"/>
      <c r="Q54" s="256"/>
      <c r="R54" s="256"/>
      <c r="S54" s="3"/>
      <c r="T54" s="16"/>
      <c r="U54" s="58" t="s">
        <v>26</v>
      </c>
      <c r="V54" s="17" t="s">
        <v>27</v>
      </c>
      <c r="W54" s="17" t="s">
        <v>28</v>
      </c>
      <c r="X54" s="17" t="s">
        <v>29</v>
      </c>
    </row>
    <row r="55" spans="1:24" x14ac:dyDescent="0.35">
      <c r="A55" s="190"/>
      <c r="B55" s="249"/>
      <c r="C55" s="354"/>
      <c r="D55" s="46"/>
      <c r="E55" s="48"/>
      <c r="F55" s="49"/>
      <c r="G55" s="40"/>
      <c r="H55" s="47"/>
      <c r="I55" s="39"/>
      <c r="J55" s="261"/>
      <c r="K55" s="317"/>
      <c r="L55" s="318" t="s">
        <v>30</v>
      </c>
      <c r="M55" s="319"/>
      <c r="N55" s="313"/>
      <c r="O55" s="232"/>
      <c r="P55" s="232"/>
      <c r="Q55" s="256"/>
      <c r="R55" s="256"/>
      <c r="S55" s="3"/>
      <c r="T55" s="9">
        <v>1</v>
      </c>
      <c r="U55" s="155"/>
      <c r="V55" s="11"/>
      <c r="W55" s="11"/>
      <c r="X55" s="59"/>
    </row>
    <row r="56" spans="1:24" x14ac:dyDescent="0.35">
      <c r="A56" s="190"/>
      <c r="B56" s="249"/>
      <c r="C56" s="354"/>
      <c r="D56" s="134"/>
      <c r="E56" s="48"/>
      <c r="F56" s="49"/>
      <c r="G56" s="40"/>
      <c r="H56" s="47"/>
      <c r="I56" s="39"/>
      <c r="J56" s="261"/>
      <c r="K56" s="317"/>
      <c r="L56" s="322">
        <v>0.9</v>
      </c>
      <c r="M56" s="323"/>
      <c r="N56" s="12" t="s">
        <v>31</v>
      </c>
      <c r="O56" s="238" t="s">
        <v>32</v>
      </c>
      <c r="P56" s="238"/>
      <c r="Q56" s="185" t="s">
        <v>33</v>
      </c>
      <c r="R56" s="185"/>
      <c r="S56" s="3"/>
      <c r="T56" s="9">
        <v>2</v>
      </c>
      <c r="U56" s="155"/>
      <c r="V56" s="11"/>
      <c r="W56" s="11"/>
      <c r="X56" s="11"/>
    </row>
    <row r="57" spans="1:24" x14ac:dyDescent="0.35">
      <c r="A57" s="191"/>
      <c r="B57" s="196" t="str">
        <f>IF(A52=2,"DIRETO","CONEXÃO")</f>
        <v>CONEXÃO</v>
      </c>
      <c r="C57" s="197"/>
      <c r="D57" s="135" t="s">
        <v>34</v>
      </c>
      <c r="E57" s="182"/>
      <c r="F57" s="182"/>
      <c r="G57" s="182"/>
      <c r="H57" s="182"/>
      <c r="I57" s="182"/>
      <c r="J57" s="182"/>
      <c r="K57" s="183"/>
      <c r="L57" s="325" t="s">
        <v>35</v>
      </c>
      <c r="M57" s="326"/>
      <c r="N57" s="313"/>
      <c r="O57" s="232">
        <f>N57+I62</f>
        <v>0</v>
      </c>
      <c r="P57" s="232"/>
      <c r="Q57" s="363"/>
      <c r="R57" s="363"/>
      <c r="S57" s="3"/>
      <c r="T57" s="9">
        <v>3</v>
      </c>
      <c r="U57" s="155"/>
      <c r="V57" s="11"/>
      <c r="W57" s="11"/>
      <c r="X57" s="11"/>
    </row>
    <row r="58" spans="1:24" ht="14.5" customHeight="1" x14ac:dyDescent="0.35">
      <c r="A58" s="355" t="s">
        <v>36</v>
      </c>
      <c r="B58" s="328"/>
      <c r="C58" s="329"/>
      <c r="D58" s="53"/>
      <c r="E58" s="53"/>
      <c r="F58" s="54"/>
      <c r="G58" s="55"/>
      <c r="H58" s="56"/>
      <c r="I58" s="57"/>
      <c r="J58" s="330"/>
      <c r="K58" s="331"/>
      <c r="L58" s="332">
        <v>0.06</v>
      </c>
      <c r="M58" s="333"/>
      <c r="N58" s="313"/>
      <c r="O58" s="232"/>
      <c r="P58" s="232"/>
      <c r="Q58" s="363"/>
      <c r="R58" s="363"/>
      <c r="S58" s="3"/>
      <c r="T58" s="9">
        <v>4</v>
      </c>
      <c r="U58" s="77"/>
      <c r="V58" s="11"/>
      <c r="W58" s="11"/>
      <c r="X58" s="11"/>
    </row>
    <row r="59" spans="1:24" x14ac:dyDescent="0.35">
      <c r="A59" s="356"/>
      <c r="B59" s="334"/>
      <c r="C59" s="335"/>
      <c r="D59" s="19"/>
      <c r="E59" s="19"/>
      <c r="F59" s="20"/>
      <c r="G59" s="50"/>
      <c r="H59" s="51"/>
      <c r="I59" s="52"/>
      <c r="J59" s="250"/>
      <c r="K59" s="336"/>
      <c r="L59" s="337" t="s">
        <v>37</v>
      </c>
      <c r="M59" s="338"/>
      <c r="N59" s="12" t="s">
        <v>38</v>
      </c>
      <c r="O59" s="238" t="s">
        <v>39</v>
      </c>
      <c r="P59" s="238"/>
      <c r="Q59" s="185" t="s">
        <v>40</v>
      </c>
      <c r="R59" s="185"/>
      <c r="S59" s="3"/>
      <c r="T59" s="9">
        <v>5</v>
      </c>
      <c r="U59" s="77"/>
      <c r="V59" s="11"/>
      <c r="W59" s="11"/>
      <c r="X59" s="11"/>
    </row>
    <row r="60" spans="1:24" x14ac:dyDescent="0.35">
      <c r="A60" s="356"/>
      <c r="B60" s="334"/>
      <c r="C60" s="335"/>
      <c r="D60" s="19"/>
      <c r="E60" s="19"/>
      <c r="F60" s="20"/>
      <c r="G60" s="50"/>
      <c r="H60" s="51"/>
      <c r="I60" s="52"/>
      <c r="J60" s="250"/>
      <c r="K60" s="336"/>
      <c r="L60" s="271"/>
      <c r="M60" s="272"/>
      <c r="N60" s="273">
        <f>SUM(N54+N57+I62)</f>
        <v>0</v>
      </c>
      <c r="O60" s="275">
        <f>(O54*L58)+O54+O57</f>
        <v>0</v>
      </c>
      <c r="P60" s="276"/>
      <c r="Q60" s="364"/>
      <c r="R60" s="256"/>
      <c r="S60" s="3"/>
      <c r="T60" s="9">
        <v>6</v>
      </c>
      <c r="U60" s="77"/>
      <c r="V60" s="11"/>
      <c r="W60" s="11"/>
      <c r="X60" s="11"/>
    </row>
    <row r="61" spans="1:24" x14ac:dyDescent="0.35">
      <c r="A61" s="357"/>
      <c r="B61" s="358" t="str">
        <f>IF(A53=2,"DIRETO","CONEXÃO")</f>
        <v>CONEXÃO</v>
      </c>
      <c r="C61" s="365"/>
      <c r="D61" s="130" t="s">
        <v>34</v>
      </c>
      <c r="E61" s="177"/>
      <c r="F61" s="178"/>
      <c r="G61" s="178"/>
      <c r="H61" s="178"/>
      <c r="I61" s="178"/>
      <c r="J61" s="178"/>
      <c r="K61" s="179"/>
      <c r="L61" s="271"/>
      <c r="M61" s="272"/>
      <c r="N61" s="274"/>
      <c r="O61" s="277"/>
      <c r="P61" s="278"/>
      <c r="Q61" s="364"/>
      <c r="R61" s="256"/>
      <c r="S61" s="3"/>
      <c r="T61" s="9">
        <v>7</v>
      </c>
      <c r="U61" s="77"/>
      <c r="V61" s="11"/>
      <c r="W61" s="11"/>
      <c r="X61" s="11"/>
    </row>
    <row r="62" spans="1:24" x14ac:dyDescent="0.35">
      <c r="A62" s="198" t="s">
        <v>41</v>
      </c>
      <c r="B62" s="198"/>
      <c r="C62" s="198"/>
      <c r="D62" s="198"/>
      <c r="E62" s="199"/>
      <c r="F62" s="199"/>
      <c r="G62" s="200" t="s">
        <v>42</v>
      </c>
      <c r="H62" s="200"/>
      <c r="I62" s="201">
        <v>0</v>
      </c>
      <c r="J62" s="201"/>
      <c r="K62" s="201"/>
      <c r="L62" s="349" t="s">
        <v>43</v>
      </c>
      <c r="M62" s="350"/>
      <c r="N62" s="12" t="s">
        <v>44</v>
      </c>
      <c r="O62" s="287" t="s">
        <v>45</v>
      </c>
      <c r="P62" s="366"/>
      <c r="Q62" s="288" t="s">
        <v>46</v>
      </c>
      <c r="R62" s="288"/>
      <c r="S62" s="3"/>
      <c r="T62" s="9">
        <v>8</v>
      </c>
      <c r="U62" s="77"/>
      <c r="V62" s="11"/>
      <c r="W62" s="11"/>
      <c r="X62" s="11"/>
    </row>
    <row r="63" spans="1:24" ht="14.5" customHeight="1" x14ac:dyDescent="0.35">
      <c r="A63" s="185" t="s">
        <v>47</v>
      </c>
      <c r="B63" s="185"/>
      <c r="C63" s="185"/>
      <c r="D63" s="185"/>
      <c r="E63" s="289">
        <v>0</v>
      </c>
      <c r="F63" s="289"/>
      <c r="G63" s="187" t="s">
        <v>48</v>
      </c>
      <c r="H63" s="187"/>
      <c r="I63" s="184" t="s">
        <v>49</v>
      </c>
      <c r="J63" s="184"/>
      <c r="K63" s="184"/>
      <c r="L63" s="332">
        <v>0</v>
      </c>
      <c r="M63" s="333"/>
      <c r="N63" s="76">
        <f>N60*L60</f>
        <v>0</v>
      </c>
      <c r="O63" s="283">
        <f>O60*L60</f>
        <v>0</v>
      </c>
      <c r="P63" s="283"/>
      <c r="Q63" s="291">
        <f>O63-N63</f>
        <v>0</v>
      </c>
      <c r="R63" s="367"/>
      <c r="S63" s="3"/>
      <c r="T63" s="9">
        <v>9</v>
      </c>
      <c r="U63" s="77"/>
      <c r="V63" s="11"/>
      <c r="W63" s="11"/>
      <c r="X63" s="11"/>
    </row>
    <row r="64" spans="1:24" x14ac:dyDescent="0.35">
      <c r="A64" s="185" t="s">
        <v>50</v>
      </c>
      <c r="B64" s="185"/>
      <c r="C64" s="185"/>
      <c r="D64" s="185"/>
      <c r="E64" s="186"/>
      <c r="F64" s="186"/>
      <c r="G64" s="187" t="s">
        <v>51</v>
      </c>
      <c r="H64" s="187"/>
      <c r="I64" s="188" t="s">
        <v>52</v>
      </c>
      <c r="J64" s="188"/>
      <c r="K64" s="188"/>
      <c r="L64" s="360">
        <f>N64*L63</f>
        <v>0</v>
      </c>
      <c r="M64" s="361"/>
      <c r="N64" s="14">
        <f>N63*E64</f>
        <v>0</v>
      </c>
      <c r="O64" s="368">
        <f>O63*E64</f>
        <v>0</v>
      </c>
      <c r="P64" s="368"/>
      <c r="Q64" s="369">
        <f>O64-N64</f>
        <v>0</v>
      </c>
      <c r="R64" s="370"/>
      <c r="S64" s="3"/>
      <c r="T64" s="9">
        <v>10</v>
      </c>
      <c r="U64" s="77"/>
      <c r="V64" s="11"/>
      <c r="W64" s="11"/>
      <c r="X64" s="11"/>
    </row>
    <row r="65" spans="1:24" s="25" customFormat="1" ht="33" customHeight="1" x14ac:dyDescent="0.35"/>
    <row r="66" spans="1:24" s="25" customFormat="1" ht="19.5" customHeight="1" x14ac:dyDescent="0.45">
      <c r="A66" s="382" t="s">
        <v>57</v>
      </c>
      <c r="B66" s="254"/>
      <c r="C66" s="254"/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  <c r="O66" s="254"/>
      <c r="P66" s="254"/>
      <c r="Q66" s="254"/>
      <c r="R66" s="254"/>
      <c r="S66" s="254"/>
      <c r="T66" s="254"/>
      <c r="U66" s="254"/>
      <c r="V66" s="254"/>
      <c r="W66" s="254"/>
      <c r="X66" s="255"/>
    </row>
    <row r="67" spans="1:24" x14ac:dyDescent="0.35">
      <c r="A67" s="37">
        <f>COUNTIF(B69:C71," ")</f>
        <v>0</v>
      </c>
      <c r="B67" s="293" t="s">
        <v>8</v>
      </c>
      <c r="C67" s="294"/>
      <c r="D67" s="294"/>
      <c r="E67" s="295"/>
      <c r="F67" s="296"/>
      <c r="G67" s="71" t="s">
        <v>9</v>
      </c>
      <c r="H67" s="297"/>
      <c r="I67" s="298"/>
      <c r="J67" s="299"/>
      <c r="K67" s="300"/>
      <c r="L67" s="301" t="s">
        <v>10</v>
      </c>
      <c r="M67" s="302"/>
      <c r="N67" s="72"/>
      <c r="O67" s="3"/>
      <c r="P67" s="3"/>
      <c r="Q67" s="3"/>
      <c r="R67" s="70"/>
      <c r="S67" s="3"/>
      <c r="T67" s="212" t="s">
        <v>11</v>
      </c>
      <c r="U67" s="212"/>
      <c r="V67" s="212"/>
      <c r="W67" s="212"/>
      <c r="X67" s="212"/>
    </row>
    <row r="68" spans="1:24" x14ac:dyDescent="0.35">
      <c r="A68" s="37">
        <f>COUNTIF(B73:C75, " ")</f>
        <v>0</v>
      </c>
      <c r="B68" s="303" t="s">
        <v>12</v>
      </c>
      <c r="C68" s="304"/>
      <c r="D68" s="15" t="s">
        <v>13</v>
      </c>
      <c r="E68" s="4" t="s">
        <v>14</v>
      </c>
      <c r="F68" s="4" t="s">
        <v>15</v>
      </c>
      <c r="G68" s="4" t="s">
        <v>16</v>
      </c>
      <c r="H68" s="4" t="s">
        <v>17</v>
      </c>
      <c r="I68" s="5" t="s">
        <v>18</v>
      </c>
      <c r="J68" s="210" t="s">
        <v>19</v>
      </c>
      <c r="K68" s="305"/>
      <c r="L68" s="306" t="s">
        <v>20</v>
      </c>
      <c r="M68" s="307"/>
      <c r="N68" s="10" t="s">
        <v>21</v>
      </c>
      <c r="O68" s="281" t="s">
        <v>22</v>
      </c>
      <c r="P68" s="348"/>
      <c r="Q68" s="282" t="s">
        <v>23</v>
      </c>
      <c r="R68" s="282"/>
      <c r="S68" s="3"/>
      <c r="T68" s="213"/>
      <c r="U68" s="213"/>
      <c r="V68" s="213"/>
      <c r="W68" s="213"/>
      <c r="X68" s="213"/>
    </row>
    <row r="69" spans="1:24" x14ac:dyDescent="0.35">
      <c r="A69" s="189" t="s">
        <v>24</v>
      </c>
      <c r="B69" s="192"/>
      <c r="C69" s="193"/>
      <c r="D69" s="22"/>
      <c r="E69" s="138"/>
      <c r="F69" s="54"/>
      <c r="G69" s="115"/>
      <c r="H69" s="24"/>
      <c r="I69" s="41"/>
      <c r="J69" s="194"/>
      <c r="K69" s="195"/>
      <c r="L69" s="311" t="s">
        <v>56</v>
      </c>
      <c r="M69" s="312"/>
      <c r="N69" s="371"/>
      <c r="O69" s="232">
        <f>N69/L71</f>
        <v>0</v>
      </c>
      <c r="P69" s="232"/>
      <c r="Q69" s="256"/>
      <c r="R69" s="256"/>
      <c r="S69" s="3"/>
      <c r="T69" s="16"/>
      <c r="U69" s="58" t="s">
        <v>26</v>
      </c>
      <c r="V69" s="17" t="s">
        <v>27</v>
      </c>
      <c r="W69" s="17" t="s">
        <v>28</v>
      </c>
      <c r="X69" s="17" t="s">
        <v>29</v>
      </c>
    </row>
    <row r="70" spans="1:24" x14ac:dyDescent="0.35">
      <c r="A70" s="190"/>
      <c r="B70" s="249"/>
      <c r="C70" s="354"/>
      <c r="D70" s="46"/>
      <c r="E70" s="48"/>
      <c r="F70" s="49"/>
      <c r="G70" s="40"/>
      <c r="H70" s="47"/>
      <c r="I70" s="39"/>
      <c r="J70" s="261"/>
      <c r="K70" s="317"/>
      <c r="L70" s="318" t="s">
        <v>30</v>
      </c>
      <c r="M70" s="319"/>
      <c r="N70" s="371"/>
      <c r="O70" s="232"/>
      <c r="P70" s="232"/>
      <c r="Q70" s="256"/>
      <c r="R70" s="256"/>
      <c r="S70" s="3"/>
      <c r="T70" s="9">
        <v>1</v>
      </c>
      <c r="U70" s="155"/>
      <c r="V70" s="11"/>
      <c r="W70" s="11"/>
      <c r="X70" s="59"/>
    </row>
    <row r="71" spans="1:24" x14ac:dyDescent="0.35">
      <c r="A71" s="190"/>
      <c r="B71" s="249"/>
      <c r="C71" s="354"/>
      <c r="D71" s="134"/>
      <c r="E71" s="48"/>
      <c r="F71" s="49"/>
      <c r="G71" s="40"/>
      <c r="H71" s="47"/>
      <c r="I71" s="39"/>
      <c r="J71" s="261"/>
      <c r="K71" s="317"/>
      <c r="L71" s="322">
        <v>0.9</v>
      </c>
      <c r="M71" s="323"/>
      <c r="N71" s="12" t="s">
        <v>31</v>
      </c>
      <c r="O71" s="238" t="s">
        <v>32</v>
      </c>
      <c r="P71" s="238"/>
      <c r="Q71" s="185" t="s">
        <v>33</v>
      </c>
      <c r="R71" s="185"/>
      <c r="S71" s="3"/>
      <c r="T71" s="9">
        <v>2</v>
      </c>
      <c r="U71" s="155"/>
      <c r="V71" s="11"/>
      <c r="W71" s="11"/>
      <c r="X71" s="11"/>
    </row>
    <row r="72" spans="1:24" x14ac:dyDescent="0.35">
      <c r="A72" s="191"/>
      <c r="B72" s="358" t="str">
        <f>IF(A67=2,"DIRETO","CONEXÃO")</f>
        <v>CONEXÃO</v>
      </c>
      <c r="C72" s="359"/>
      <c r="D72" s="130" t="s">
        <v>34</v>
      </c>
      <c r="E72" s="180"/>
      <c r="F72" s="180"/>
      <c r="G72" s="180"/>
      <c r="H72" s="180"/>
      <c r="I72" s="180"/>
      <c r="J72" s="180"/>
      <c r="K72" s="181"/>
      <c r="L72" s="325" t="s">
        <v>35</v>
      </c>
      <c r="M72" s="326"/>
      <c r="N72" s="371"/>
      <c r="O72" s="232">
        <f>N72+I77</f>
        <v>0</v>
      </c>
      <c r="P72" s="232"/>
      <c r="Q72" s="363"/>
      <c r="R72" s="363"/>
      <c r="S72" s="3"/>
      <c r="T72" s="9">
        <v>3</v>
      </c>
      <c r="U72" s="155"/>
      <c r="V72" s="11"/>
      <c r="W72" s="11"/>
      <c r="X72" s="11"/>
    </row>
    <row r="73" spans="1:24" ht="14.5" customHeight="1" x14ac:dyDescent="0.35">
      <c r="A73" s="372" t="s">
        <v>36</v>
      </c>
      <c r="B73" s="375"/>
      <c r="C73" s="294"/>
      <c r="D73" s="142"/>
      <c r="E73" s="142"/>
      <c r="F73" s="143"/>
      <c r="G73" s="144"/>
      <c r="H73" s="145"/>
      <c r="I73" s="146"/>
      <c r="J73" s="376"/>
      <c r="K73" s="377"/>
      <c r="L73" s="332">
        <v>0.06</v>
      </c>
      <c r="M73" s="333"/>
      <c r="N73" s="371"/>
      <c r="O73" s="232"/>
      <c r="P73" s="232"/>
      <c r="Q73" s="363"/>
      <c r="R73" s="363"/>
      <c r="S73" s="3"/>
      <c r="T73" s="9">
        <v>4</v>
      </c>
      <c r="U73" s="155"/>
      <c r="V73" s="11"/>
      <c r="W73" s="11"/>
      <c r="X73" s="11"/>
    </row>
    <row r="74" spans="1:24" x14ac:dyDescent="0.35">
      <c r="A74" s="373"/>
      <c r="B74" s="378"/>
      <c r="C74" s="335"/>
      <c r="D74" s="19"/>
      <c r="E74" s="19"/>
      <c r="F74" s="20"/>
      <c r="G74" s="50"/>
      <c r="H74" s="51"/>
      <c r="I74" s="52"/>
      <c r="J74" s="250"/>
      <c r="K74" s="336"/>
      <c r="L74" s="337" t="s">
        <v>37</v>
      </c>
      <c r="M74" s="338"/>
      <c r="N74" s="12" t="s">
        <v>38</v>
      </c>
      <c r="O74" s="238" t="s">
        <v>39</v>
      </c>
      <c r="P74" s="238"/>
      <c r="Q74" s="185" t="s">
        <v>40</v>
      </c>
      <c r="R74" s="185"/>
      <c r="S74" s="3"/>
      <c r="T74" s="9">
        <v>5</v>
      </c>
      <c r="U74" s="77"/>
      <c r="V74" s="11"/>
      <c r="W74" s="11"/>
      <c r="X74" s="11"/>
    </row>
    <row r="75" spans="1:24" x14ac:dyDescent="0.35">
      <c r="A75" s="373"/>
      <c r="B75" s="378"/>
      <c r="C75" s="335"/>
      <c r="D75" s="19"/>
      <c r="E75" s="19"/>
      <c r="F75" s="20"/>
      <c r="G75" s="50"/>
      <c r="H75" s="51"/>
      <c r="I75" s="52"/>
      <c r="J75" s="250"/>
      <c r="K75" s="336"/>
      <c r="L75" s="271"/>
      <c r="M75" s="272"/>
      <c r="N75" s="273">
        <f>SUM(N69+N72+I77)</f>
        <v>0</v>
      </c>
      <c r="O75" s="275">
        <f>(O69*L73)+O69+O72</f>
        <v>0</v>
      </c>
      <c r="P75" s="276"/>
      <c r="Q75" s="364"/>
      <c r="R75" s="256"/>
      <c r="S75" s="3"/>
      <c r="T75" s="9">
        <v>6</v>
      </c>
      <c r="U75" s="77"/>
      <c r="V75" s="11"/>
      <c r="W75" s="11"/>
      <c r="X75" s="11"/>
    </row>
    <row r="76" spans="1:24" x14ac:dyDescent="0.35">
      <c r="A76" s="374"/>
      <c r="B76" s="379" t="str">
        <f>IF(A68=2,"DIRETO","CONEXÃO")</f>
        <v>CONEXÃO</v>
      </c>
      <c r="C76" s="365"/>
      <c r="D76" s="130" t="s">
        <v>34</v>
      </c>
      <c r="E76" s="177"/>
      <c r="F76" s="178"/>
      <c r="G76" s="178"/>
      <c r="H76" s="178"/>
      <c r="I76" s="178"/>
      <c r="J76" s="178"/>
      <c r="K76" s="179"/>
      <c r="L76" s="271"/>
      <c r="M76" s="272"/>
      <c r="N76" s="274"/>
      <c r="O76" s="277"/>
      <c r="P76" s="278"/>
      <c r="Q76" s="364"/>
      <c r="R76" s="256"/>
      <c r="S76" s="3"/>
      <c r="T76" s="9">
        <v>7</v>
      </c>
      <c r="U76" s="77"/>
      <c r="V76" s="11"/>
      <c r="W76" s="11"/>
      <c r="X76" s="11"/>
    </row>
    <row r="77" spans="1:24" x14ac:dyDescent="0.35">
      <c r="A77" s="198" t="s">
        <v>41</v>
      </c>
      <c r="B77" s="198"/>
      <c r="C77" s="198"/>
      <c r="D77" s="198"/>
      <c r="E77" s="199"/>
      <c r="F77" s="199"/>
      <c r="G77" s="200" t="s">
        <v>42</v>
      </c>
      <c r="H77" s="200"/>
      <c r="I77" s="201">
        <v>0</v>
      </c>
      <c r="J77" s="201"/>
      <c r="K77" s="201"/>
      <c r="L77" s="349" t="s">
        <v>43</v>
      </c>
      <c r="M77" s="350"/>
      <c r="N77" s="12" t="s">
        <v>44</v>
      </c>
      <c r="O77" s="287" t="s">
        <v>45</v>
      </c>
      <c r="P77" s="366"/>
      <c r="Q77" s="288" t="s">
        <v>46</v>
      </c>
      <c r="R77" s="288"/>
      <c r="S77" s="3"/>
      <c r="T77" s="9">
        <v>8</v>
      </c>
      <c r="U77" s="77"/>
      <c r="V77" s="11"/>
      <c r="W77" s="11"/>
      <c r="X77" s="11"/>
    </row>
    <row r="78" spans="1:24" ht="14.5" customHeight="1" x14ac:dyDescent="0.35">
      <c r="A78" s="185" t="s">
        <v>47</v>
      </c>
      <c r="B78" s="185"/>
      <c r="C78" s="185"/>
      <c r="D78" s="185"/>
      <c r="E78" s="289">
        <v>0</v>
      </c>
      <c r="F78" s="289"/>
      <c r="G78" s="187" t="s">
        <v>48</v>
      </c>
      <c r="H78" s="187"/>
      <c r="I78" s="184" t="s">
        <v>49</v>
      </c>
      <c r="J78" s="184"/>
      <c r="K78" s="184"/>
      <c r="L78" s="332">
        <v>0</v>
      </c>
      <c r="M78" s="333"/>
      <c r="N78" s="76">
        <f>N75*L75</f>
        <v>0</v>
      </c>
      <c r="O78" s="283">
        <f>O75*L75</f>
        <v>0</v>
      </c>
      <c r="P78" s="283"/>
      <c r="Q78" s="291">
        <f>O78-N78</f>
        <v>0</v>
      </c>
      <c r="R78" s="367"/>
      <c r="S78" s="3"/>
      <c r="T78" s="9">
        <v>9</v>
      </c>
      <c r="U78" s="77"/>
      <c r="V78" s="11"/>
      <c r="W78" s="11"/>
      <c r="X78" s="11"/>
    </row>
    <row r="79" spans="1:24" x14ac:dyDescent="0.35">
      <c r="A79" s="185" t="s">
        <v>50</v>
      </c>
      <c r="B79" s="185"/>
      <c r="C79" s="185"/>
      <c r="D79" s="185"/>
      <c r="E79" s="186">
        <v>1</v>
      </c>
      <c r="F79" s="186"/>
      <c r="G79" s="187" t="s">
        <v>51</v>
      </c>
      <c r="H79" s="187"/>
      <c r="I79" s="188" t="s">
        <v>52</v>
      </c>
      <c r="J79" s="188"/>
      <c r="K79" s="188"/>
      <c r="L79" s="360">
        <f>N79*L78</f>
        <v>0</v>
      </c>
      <c r="M79" s="361"/>
      <c r="N79" s="14">
        <f>N78*E79</f>
        <v>0</v>
      </c>
      <c r="O79" s="368">
        <f>O78*E79</f>
        <v>0</v>
      </c>
      <c r="P79" s="368"/>
      <c r="Q79" s="369">
        <f>O79-N79</f>
        <v>0</v>
      </c>
      <c r="R79" s="370"/>
      <c r="S79" s="3"/>
      <c r="T79" s="9">
        <v>10</v>
      </c>
      <c r="U79" s="77"/>
      <c r="V79" s="11"/>
      <c r="W79" s="11"/>
      <c r="X79" s="11"/>
    </row>
    <row r="80" spans="1:24" s="25" customFormat="1" ht="33" customHeight="1" x14ac:dyDescent="0.35"/>
    <row r="81" spans="1:24" s="25" customFormat="1" ht="19.5" customHeight="1" x14ac:dyDescent="0.45">
      <c r="A81" s="382" t="s">
        <v>58</v>
      </c>
      <c r="B81" s="254"/>
      <c r="C81" s="254"/>
      <c r="D81" s="254"/>
      <c r="E81" s="254"/>
      <c r="F81" s="254"/>
      <c r="G81" s="254"/>
      <c r="H81" s="254"/>
      <c r="I81" s="254"/>
      <c r="J81" s="254"/>
      <c r="K81" s="254"/>
      <c r="L81" s="254"/>
      <c r="M81" s="254"/>
      <c r="N81" s="254"/>
      <c r="O81" s="254"/>
      <c r="P81" s="254"/>
      <c r="Q81" s="254"/>
      <c r="R81" s="254"/>
      <c r="S81" s="254"/>
      <c r="T81" s="254"/>
      <c r="U81" s="254"/>
      <c r="V81" s="254"/>
      <c r="W81" s="254"/>
      <c r="X81" s="255"/>
    </row>
    <row r="82" spans="1:24" x14ac:dyDescent="0.35">
      <c r="A82" s="37">
        <f>COUNTIF(B84:C86," ")</f>
        <v>0</v>
      </c>
      <c r="B82" s="293" t="s">
        <v>8</v>
      </c>
      <c r="C82" s="294"/>
      <c r="D82" s="294"/>
      <c r="E82" s="295"/>
      <c r="F82" s="296"/>
      <c r="G82" s="71" t="s">
        <v>9</v>
      </c>
      <c r="H82" s="297"/>
      <c r="I82" s="298"/>
      <c r="J82" s="299"/>
      <c r="K82" s="300"/>
      <c r="L82" s="301" t="s">
        <v>10</v>
      </c>
      <c r="M82" s="302"/>
      <c r="N82" s="72"/>
      <c r="O82" s="3"/>
      <c r="P82" s="3"/>
      <c r="Q82" s="3"/>
      <c r="R82" s="70"/>
      <c r="S82" s="3"/>
      <c r="T82" s="212" t="s">
        <v>11</v>
      </c>
      <c r="U82" s="212"/>
      <c r="V82" s="212"/>
      <c r="W82" s="212"/>
      <c r="X82" s="212"/>
    </row>
    <row r="83" spans="1:24" x14ac:dyDescent="0.35">
      <c r="A83" s="37">
        <f>COUNTIF(B88:C90, " ")</f>
        <v>0</v>
      </c>
      <c r="B83" s="303" t="s">
        <v>12</v>
      </c>
      <c r="C83" s="304"/>
      <c r="D83" s="15" t="s">
        <v>13</v>
      </c>
      <c r="E83" s="4" t="s">
        <v>14</v>
      </c>
      <c r="F83" s="4" t="s">
        <v>15</v>
      </c>
      <c r="G83" s="4" t="s">
        <v>16</v>
      </c>
      <c r="H83" s="4" t="s">
        <v>17</v>
      </c>
      <c r="I83" s="5" t="s">
        <v>18</v>
      </c>
      <c r="J83" s="210" t="s">
        <v>19</v>
      </c>
      <c r="K83" s="305"/>
      <c r="L83" s="306" t="s">
        <v>20</v>
      </c>
      <c r="M83" s="307"/>
      <c r="N83" s="10" t="s">
        <v>21</v>
      </c>
      <c r="O83" s="281" t="s">
        <v>22</v>
      </c>
      <c r="P83" s="348"/>
      <c r="Q83" s="282" t="s">
        <v>23</v>
      </c>
      <c r="R83" s="282"/>
      <c r="S83" s="3"/>
      <c r="T83" s="213"/>
      <c r="U83" s="213"/>
      <c r="V83" s="213"/>
      <c r="W83" s="213"/>
      <c r="X83" s="213"/>
    </row>
    <row r="84" spans="1:24" x14ac:dyDescent="0.35">
      <c r="A84" s="189" t="s">
        <v>24</v>
      </c>
      <c r="B84" s="192"/>
      <c r="C84" s="193"/>
      <c r="D84" s="22"/>
      <c r="E84" s="138"/>
      <c r="F84" s="54"/>
      <c r="G84" s="115"/>
      <c r="H84" s="24"/>
      <c r="I84" s="41"/>
      <c r="J84" s="194"/>
      <c r="K84" s="195"/>
      <c r="L84" s="311" t="s">
        <v>56</v>
      </c>
      <c r="M84" s="312"/>
      <c r="N84" s="371"/>
      <c r="O84" s="232">
        <f>N84/L86</f>
        <v>0</v>
      </c>
      <c r="P84" s="232"/>
      <c r="Q84" s="256"/>
      <c r="R84" s="256"/>
      <c r="S84" s="3"/>
      <c r="T84" s="16"/>
      <c r="U84" s="58" t="s">
        <v>26</v>
      </c>
      <c r="V84" s="17" t="s">
        <v>27</v>
      </c>
      <c r="W84" s="17" t="s">
        <v>28</v>
      </c>
      <c r="X84" s="17" t="s">
        <v>29</v>
      </c>
    </row>
    <row r="85" spans="1:24" x14ac:dyDescent="0.35">
      <c r="A85" s="190"/>
      <c r="B85" s="249"/>
      <c r="C85" s="354"/>
      <c r="D85" s="46"/>
      <c r="E85" s="48"/>
      <c r="F85" s="49"/>
      <c r="G85" s="40"/>
      <c r="H85" s="47"/>
      <c r="I85" s="39"/>
      <c r="J85" s="261"/>
      <c r="K85" s="317"/>
      <c r="L85" s="318" t="s">
        <v>30</v>
      </c>
      <c r="M85" s="319"/>
      <c r="N85" s="371"/>
      <c r="O85" s="232"/>
      <c r="P85" s="232"/>
      <c r="Q85" s="256"/>
      <c r="R85" s="256"/>
      <c r="S85" s="3"/>
      <c r="T85" s="9">
        <v>1</v>
      </c>
      <c r="U85" s="77"/>
      <c r="V85" s="11"/>
      <c r="W85" s="11"/>
      <c r="X85" s="59"/>
    </row>
    <row r="86" spans="1:24" x14ac:dyDescent="0.35">
      <c r="A86" s="190"/>
      <c r="B86" s="249"/>
      <c r="C86" s="354"/>
      <c r="D86" s="134"/>
      <c r="E86" s="48"/>
      <c r="F86" s="49"/>
      <c r="G86" s="40"/>
      <c r="H86" s="47"/>
      <c r="I86" s="39"/>
      <c r="J86" s="261"/>
      <c r="K86" s="317"/>
      <c r="L86" s="322">
        <v>0.9</v>
      </c>
      <c r="M86" s="323"/>
      <c r="N86" s="12" t="s">
        <v>31</v>
      </c>
      <c r="O86" s="238" t="s">
        <v>32</v>
      </c>
      <c r="P86" s="238"/>
      <c r="Q86" s="185" t="s">
        <v>33</v>
      </c>
      <c r="R86" s="185"/>
      <c r="S86" s="3"/>
      <c r="T86" s="9">
        <v>2</v>
      </c>
      <c r="U86" s="77"/>
      <c r="V86" s="11"/>
      <c r="W86" s="11"/>
      <c r="X86" s="11"/>
    </row>
    <row r="87" spans="1:24" x14ac:dyDescent="0.35">
      <c r="A87" s="191"/>
      <c r="B87" s="196" t="str">
        <f>IF(A82=2,"DIRETO","CONEXÃO")</f>
        <v>CONEXÃO</v>
      </c>
      <c r="C87" s="197"/>
      <c r="D87" s="135" t="s">
        <v>34</v>
      </c>
      <c r="E87" s="182"/>
      <c r="F87" s="182"/>
      <c r="G87" s="182"/>
      <c r="H87" s="182"/>
      <c r="I87" s="182"/>
      <c r="J87" s="182"/>
      <c r="K87" s="183"/>
      <c r="L87" s="325" t="s">
        <v>35</v>
      </c>
      <c r="M87" s="326"/>
      <c r="N87" s="371"/>
      <c r="O87" s="232">
        <f>N87+I92</f>
        <v>0</v>
      </c>
      <c r="P87" s="232"/>
      <c r="Q87" s="363"/>
      <c r="R87" s="363"/>
      <c r="S87" s="3"/>
      <c r="T87" s="9">
        <v>3</v>
      </c>
      <c r="U87" s="77"/>
      <c r="V87" s="11"/>
      <c r="W87" s="11"/>
      <c r="X87" s="11"/>
    </row>
    <row r="88" spans="1:24" ht="14.5" customHeight="1" x14ac:dyDescent="0.35">
      <c r="A88" s="355" t="s">
        <v>36</v>
      </c>
      <c r="B88" s="328"/>
      <c r="C88" s="329"/>
      <c r="D88" s="53"/>
      <c r="E88" s="53"/>
      <c r="F88" s="54"/>
      <c r="G88" s="55"/>
      <c r="H88" s="56"/>
      <c r="I88" s="57"/>
      <c r="J88" s="330"/>
      <c r="K88" s="331"/>
      <c r="L88" s="332">
        <v>0.06</v>
      </c>
      <c r="M88" s="333"/>
      <c r="N88" s="371"/>
      <c r="O88" s="232"/>
      <c r="P88" s="232"/>
      <c r="Q88" s="363"/>
      <c r="R88" s="363"/>
      <c r="S88" s="3"/>
      <c r="T88" s="9">
        <v>4</v>
      </c>
      <c r="U88" s="77"/>
      <c r="V88" s="11"/>
      <c r="W88" s="11"/>
      <c r="X88" s="11"/>
    </row>
    <row r="89" spans="1:24" x14ac:dyDescent="0.35">
      <c r="A89" s="356"/>
      <c r="B89" s="334"/>
      <c r="C89" s="335"/>
      <c r="D89" s="19"/>
      <c r="E89" s="19"/>
      <c r="F89" s="20"/>
      <c r="G89" s="50"/>
      <c r="H89" s="51"/>
      <c r="I89" s="52"/>
      <c r="J89" s="250"/>
      <c r="K89" s="336"/>
      <c r="L89" s="337" t="s">
        <v>37</v>
      </c>
      <c r="M89" s="338"/>
      <c r="N89" s="12" t="s">
        <v>38</v>
      </c>
      <c r="O89" s="238" t="s">
        <v>39</v>
      </c>
      <c r="P89" s="238"/>
      <c r="Q89" s="185" t="s">
        <v>40</v>
      </c>
      <c r="R89" s="185"/>
      <c r="S89" s="3"/>
      <c r="T89" s="9">
        <v>5</v>
      </c>
      <c r="U89" s="77"/>
      <c r="V89" s="11"/>
      <c r="W89" s="11"/>
      <c r="X89" s="11"/>
    </row>
    <row r="90" spans="1:24" x14ac:dyDescent="0.35">
      <c r="A90" s="356"/>
      <c r="B90" s="334"/>
      <c r="C90" s="335"/>
      <c r="D90" s="19"/>
      <c r="E90" s="19"/>
      <c r="F90" s="20"/>
      <c r="G90" s="50"/>
      <c r="H90" s="51"/>
      <c r="I90" s="52"/>
      <c r="J90" s="250"/>
      <c r="K90" s="336"/>
      <c r="L90" s="271"/>
      <c r="M90" s="272"/>
      <c r="N90" s="273">
        <f>SUM(N84+N87+I92)</f>
        <v>0</v>
      </c>
      <c r="O90" s="275">
        <f>(O84*L88)+O84+O87</f>
        <v>0</v>
      </c>
      <c r="P90" s="276"/>
      <c r="Q90" s="364"/>
      <c r="R90" s="256"/>
      <c r="S90" s="3"/>
      <c r="T90" s="9">
        <v>6</v>
      </c>
      <c r="U90" s="77"/>
      <c r="V90" s="11"/>
      <c r="W90" s="11"/>
      <c r="X90" s="11"/>
    </row>
    <row r="91" spans="1:24" x14ac:dyDescent="0.35">
      <c r="A91" s="357"/>
      <c r="B91" s="358" t="str">
        <f>IF(A83=2,"DIRETO","CONEXÃO")</f>
        <v>CONEXÃO</v>
      </c>
      <c r="C91" s="365"/>
      <c r="D91" s="130" t="s">
        <v>34</v>
      </c>
      <c r="E91" s="177"/>
      <c r="F91" s="178"/>
      <c r="G91" s="178"/>
      <c r="H91" s="178"/>
      <c r="I91" s="178"/>
      <c r="J91" s="178"/>
      <c r="K91" s="179"/>
      <c r="L91" s="271"/>
      <c r="M91" s="272"/>
      <c r="N91" s="274"/>
      <c r="O91" s="277"/>
      <c r="P91" s="278"/>
      <c r="Q91" s="364"/>
      <c r="R91" s="256"/>
      <c r="S91" s="3"/>
      <c r="T91" s="9">
        <v>7</v>
      </c>
      <c r="U91" s="77"/>
      <c r="V91" s="11"/>
      <c r="W91" s="11"/>
      <c r="X91" s="11"/>
    </row>
    <row r="92" spans="1:24" x14ac:dyDescent="0.35">
      <c r="A92" s="198" t="s">
        <v>41</v>
      </c>
      <c r="B92" s="198"/>
      <c r="C92" s="198"/>
      <c r="D92" s="198"/>
      <c r="E92" s="199"/>
      <c r="F92" s="199"/>
      <c r="G92" s="200" t="s">
        <v>42</v>
      </c>
      <c r="H92" s="200"/>
      <c r="I92" s="201">
        <v>0</v>
      </c>
      <c r="J92" s="201"/>
      <c r="K92" s="201"/>
      <c r="L92" s="349" t="s">
        <v>43</v>
      </c>
      <c r="M92" s="350"/>
      <c r="N92" s="12" t="s">
        <v>44</v>
      </c>
      <c r="O92" s="287" t="s">
        <v>45</v>
      </c>
      <c r="P92" s="366"/>
      <c r="Q92" s="288" t="s">
        <v>46</v>
      </c>
      <c r="R92" s="288"/>
      <c r="S92" s="3"/>
      <c r="T92" s="9">
        <v>8</v>
      </c>
      <c r="U92" s="77"/>
      <c r="V92" s="11"/>
      <c r="W92" s="11"/>
      <c r="X92" s="11"/>
    </row>
    <row r="93" spans="1:24" ht="14.5" customHeight="1" x14ac:dyDescent="0.35">
      <c r="A93" s="185" t="s">
        <v>47</v>
      </c>
      <c r="B93" s="185"/>
      <c r="C93" s="185"/>
      <c r="D93" s="185"/>
      <c r="E93" s="289">
        <v>0</v>
      </c>
      <c r="F93" s="289"/>
      <c r="G93" s="187" t="s">
        <v>48</v>
      </c>
      <c r="H93" s="187"/>
      <c r="I93" s="184" t="s">
        <v>49</v>
      </c>
      <c r="J93" s="184"/>
      <c r="K93" s="184"/>
      <c r="L93" s="332">
        <v>0</v>
      </c>
      <c r="M93" s="333"/>
      <c r="N93" s="76">
        <f>N90*L90</f>
        <v>0</v>
      </c>
      <c r="O93" s="283">
        <f>O90*L90</f>
        <v>0</v>
      </c>
      <c r="P93" s="283"/>
      <c r="Q93" s="291">
        <f>O93-N93</f>
        <v>0</v>
      </c>
      <c r="R93" s="367"/>
      <c r="S93" s="3"/>
      <c r="T93" s="9">
        <v>9</v>
      </c>
      <c r="U93" s="77"/>
      <c r="V93" s="11"/>
      <c r="W93" s="11"/>
      <c r="X93" s="11"/>
    </row>
    <row r="94" spans="1:24" x14ac:dyDescent="0.35">
      <c r="A94" s="185" t="s">
        <v>50</v>
      </c>
      <c r="B94" s="185"/>
      <c r="C94" s="185"/>
      <c r="D94" s="185"/>
      <c r="E94" s="186">
        <v>1</v>
      </c>
      <c r="F94" s="186"/>
      <c r="G94" s="187" t="s">
        <v>51</v>
      </c>
      <c r="H94" s="187"/>
      <c r="I94" s="188" t="s">
        <v>52</v>
      </c>
      <c r="J94" s="188"/>
      <c r="K94" s="188"/>
      <c r="L94" s="360">
        <f>N94*L93</f>
        <v>0</v>
      </c>
      <c r="M94" s="361"/>
      <c r="N94" s="14">
        <f>N93*E94</f>
        <v>0</v>
      </c>
      <c r="O94" s="368">
        <f>O93*E94</f>
        <v>0</v>
      </c>
      <c r="P94" s="368"/>
      <c r="Q94" s="369">
        <f>O94-N94</f>
        <v>0</v>
      </c>
      <c r="R94" s="370"/>
      <c r="S94" s="3"/>
      <c r="T94" s="9">
        <v>10</v>
      </c>
      <c r="U94" s="77"/>
      <c r="V94" s="11"/>
      <c r="W94" s="11"/>
      <c r="X94" s="11"/>
    </row>
    <row r="95" spans="1:24" s="25" customFormat="1" ht="31.5" customHeight="1" x14ac:dyDescent="0.35"/>
    <row r="96" spans="1:24" s="25" customFormat="1" ht="19.5" customHeight="1" x14ac:dyDescent="0.45">
      <c r="A96" s="382" t="s">
        <v>59</v>
      </c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54"/>
      <c r="P96" s="254"/>
      <c r="Q96" s="254"/>
      <c r="R96" s="254"/>
      <c r="S96" s="254"/>
      <c r="T96" s="254"/>
      <c r="U96" s="254"/>
      <c r="V96" s="254"/>
      <c r="W96" s="254"/>
      <c r="X96" s="255"/>
    </row>
    <row r="97" spans="1:24" x14ac:dyDescent="0.35">
      <c r="A97" s="37">
        <f>COUNTIF(B99:C101," ")</f>
        <v>0</v>
      </c>
      <c r="B97" s="293" t="s">
        <v>8</v>
      </c>
      <c r="C97" s="294"/>
      <c r="D97" s="294"/>
      <c r="E97" s="295"/>
      <c r="F97" s="296"/>
      <c r="G97" s="71" t="s">
        <v>9</v>
      </c>
      <c r="H97" s="297"/>
      <c r="I97" s="298"/>
      <c r="J97" s="299"/>
      <c r="K97" s="300"/>
      <c r="L97" s="301" t="s">
        <v>10</v>
      </c>
      <c r="M97" s="302"/>
      <c r="N97" s="72"/>
      <c r="O97" s="3"/>
      <c r="P97" s="3"/>
      <c r="Q97" s="3"/>
      <c r="R97" s="70"/>
      <c r="S97" s="3"/>
      <c r="T97" s="212" t="s">
        <v>11</v>
      </c>
      <c r="U97" s="212"/>
      <c r="V97" s="212"/>
      <c r="W97" s="212"/>
      <c r="X97" s="212"/>
    </row>
    <row r="98" spans="1:24" x14ac:dyDescent="0.35">
      <c r="A98" s="37">
        <f>COUNTIF(B103:C105, " ")</f>
        <v>0</v>
      </c>
      <c r="B98" s="303" t="s">
        <v>12</v>
      </c>
      <c r="C98" s="304"/>
      <c r="D98" s="15" t="s">
        <v>13</v>
      </c>
      <c r="E98" s="4" t="s">
        <v>14</v>
      </c>
      <c r="F98" s="4" t="s">
        <v>15</v>
      </c>
      <c r="G98" s="4" t="s">
        <v>16</v>
      </c>
      <c r="H98" s="4" t="s">
        <v>17</v>
      </c>
      <c r="I98" s="5" t="s">
        <v>18</v>
      </c>
      <c r="J98" s="210" t="s">
        <v>19</v>
      </c>
      <c r="K98" s="305"/>
      <c r="L98" s="306" t="s">
        <v>20</v>
      </c>
      <c r="M98" s="307"/>
      <c r="N98" s="10" t="s">
        <v>21</v>
      </c>
      <c r="O98" s="281" t="s">
        <v>22</v>
      </c>
      <c r="P98" s="348"/>
      <c r="Q98" s="282" t="s">
        <v>23</v>
      </c>
      <c r="R98" s="282"/>
      <c r="S98" s="3"/>
      <c r="T98" s="213"/>
      <c r="U98" s="213"/>
      <c r="V98" s="213"/>
      <c r="W98" s="213"/>
      <c r="X98" s="213"/>
    </row>
    <row r="99" spans="1:24" x14ac:dyDescent="0.35">
      <c r="A99" s="189" t="s">
        <v>24</v>
      </c>
      <c r="B99" s="192"/>
      <c r="C99" s="193"/>
      <c r="D99" s="22"/>
      <c r="E99" s="138"/>
      <c r="F99" s="54"/>
      <c r="G99" s="115"/>
      <c r="H99" s="24"/>
      <c r="I99" s="41"/>
      <c r="J99" s="194"/>
      <c r="K99" s="195"/>
      <c r="L99" s="311" t="s">
        <v>56</v>
      </c>
      <c r="M99" s="312"/>
      <c r="N99" s="371"/>
      <c r="O99" s="232">
        <f>N99/L101</f>
        <v>0</v>
      </c>
      <c r="P99" s="232"/>
      <c r="Q99" s="256"/>
      <c r="R99" s="256"/>
      <c r="S99" s="3"/>
      <c r="T99" s="16"/>
      <c r="U99" s="58" t="s">
        <v>26</v>
      </c>
      <c r="V99" s="17" t="s">
        <v>27</v>
      </c>
      <c r="W99" s="17" t="s">
        <v>28</v>
      </c>
      <c r="X99" s="17" t="s">
        <v>29</v>
      </c>
    </row>
    <row r="100" spans="1:24" x14ac:dyDescent="0.35">
      <c r="A100" s="190"/>
      <c r="B100" s="249"/>
      <c r="C100" s="354"/>
      <c r="D100" s="46"/>
      <c r="E100" s="48"/>
      <c r="F100" s="49"/>
      <c r="G100" s="40"/>
      <c r="H100" s="47"/>
      <c r="I100" s="39"/>
      <c r="J100" s="261"/>
      <c r="K100" s="317"/>
      <c r="L100" s="318" t="s">
        <v>30</v>
      </c>
      <c r="M100" s="319"/>
      <c r="N100" s="371"/>
      <c r="O100" s="232"/>
      <c r="P100" s="232"/>
      <c r="Q100" s="256"/>
      <c r="R100" s="256"/>
      <c r="S100" s="3"/>
      <c r="T100" s="9">
        <v>1</v>
      </c>
      <c r="U100" s="77"/>
      <c r="V100" s="11"/>
      <c r="W100" s="11"/>
      <c r="X100" s="59"/>
    </row>
    <row r="101" spans="1:24" x14ac:dyDescent="0.35">
      <c r="A101" s="190"/>
      <c r="B101" s="249"/>
      <c r="C101" s="354"/>
      <c r="D101" s="134"/>
      <c r="E101" s="48"/>
      <c r="F101" s="49"/>
      <c r="G101" s="40"/>
      <c r="H101" s="47"/>
      <c r="I101" s="39"/>
      <c r="J101" s="261"/>
      <c r="K101" s="317"/>
      <c r="L101" s="322">
        <v>0.9</v>
      </c>
      <c r="M101" s="323"/>
      <c r="N101" s="12" t="s">
        <v>31</v>
      </c>
      <c r="O101" s="238" t="s">
        <v>32</v>
      </c>
      <c r="P101" s="238"/>
      <c r="Q101" s="185" t="s">
        <v>33</v>
      </c>
      <c r="R101" s="185"/>
      <c r="S101" s="3"/>
      <c r="T101" s="9">
        <v>2</v>
      </c>
      <c r="U101" s="77"/>
      <c r="V101" s="11"/>
      <c r="W101" s="11"/>
      <c r="X101" s="11"/>
    </row>
    <row r="102" spans="1:24" x14ac:dyDescent="0.35">
      <c r="A102" s="191"/>
      <c r="B102" s="358" t="str">
        <f>IF(A97=2,"DIRETO","CONEXÃO")</f>
        <v>CONEXÃO</v>
      </c>
      <c r="C102" s="359"/>
      <c r="D102" s="130" t="s">
        <v>34</v>
      </c>
      <c r="E102" s="180"/>
      <c r="F102" s="180"/>
      <c r="G102" s="180"/>
      <c r="H102" s="180"/>
      <c r="I102" s="180"/>
      <c r="J102" s="180"/>
      <c r="K102" s="181"/>
      <c r="L102" s="325" t="s">
        <v>35</v>
      </c>
      <c r="M102" s="326"/>
      <c r="N102" s="371"/>
      <c r="O102" s="232">
        <f>N102+I107</f>
        <v>0</v>
      </c>
      <c r="P102" s="232"/>
      <c r="Q102" s="363"/>
      <c r="R102" s="363"/>
      <c r="S102" s="3"/>
      <c r="T102" s="9">
        <v>3</v>
      </c>
      <c r="U102" s="77"/>
      <c r="V102" s="11"/>
      <c r="W102" s="11"/>
      <c r="X102" s="11"/>
    </row>
    <row r="103" spans="1:24" ht="14.5" customHeight="1" x14ac:dyDescent="0.35">
      <c r="A103" s="372" t="s">
        <v>36</v>
      </c>
      <c r="B103" s="375"/>
      <c r="C103" s="294"/>
      <c r="D103" s="136"/>
      <c r="E103" s="136"/>
      <c r="F103" s="49"/>
      <c r="G103" s="139"/>
      <c r="H103" s="140"/>
      <c r="I103" s="141"/>
      <c r="J103" s="380"/>
      <c r="K103" s="381"/>
      <c r="L103" s="332">
        <v>0.06</v>
      </c>
      <c r="M103" s="333"/>
      <c r="N103" s="371"/>
      <c r="O103" s="232"/>
      <c r="P103" s="232"/>
      <c r="Q103" s="363"/>
      <c r="R103" s="363"/>
      <c r="S103" s="3"/>
      <c r="T103" s="9">
        <v>4</v>
      </c>
      <c r="U103" s="77"/>
      <c r="V103" s="11"/>
      <c r="W103" s="11"/>
      <c r="X103" s="11"/>
    </row>
    <row r="104" spans="1:24" x14ac:dyDescent="0.35">
      <c r="A104" s="373"/>
      <c r="B104" s="378"/>
      <c r="C104" s="335"/>
      <c r="D104" s="19"/>
      <c r="E104" s="19"/>
      <c r="F104" s="20"/>
      <c r="G104" s="50"/>
      <c r="H104" s="51"/>
      <c r="I104" s="52"/>
      <c r="J104" s="250"/>
      <c r="K104" s="336"/>
      <c r="L104" s="337" t="s">
        <v>37</v>
      </c>
      <c r="M104" s="338"/>
      <c r="N104" s="12" t="s">
        <v>38</v>
      </c>
      <c r="O104" s="238" t="s">
        <v>39</v>
      </c>
      <c r="P104" s="238"/>
      <c r="Q104" s="185" t="s">
        <v>40</v>
      </c>
      <c r="R104" s="185"/>
      <c r="S104" s="3"/>
      <c r="T104" s="9">
        <v>5</v>
      </c>
      <c r="U104" s="77"/>
      <c r="V104" s="11"/>
      <c r="W104" s="11"/>
      <c r="X104" s="11"/>
    </row>
    <row r="105" spans="1:24" x14ac:dyDescent="0.35">
      <c r="A105" s="373"/>
      <c r="B105" s="378"/>
      <c r="C105" s="335"/>
      <c r="D105" s="19"/>
      <c r="E105" s="19"/>
      <c r="F105" s="20"/>
      <c r="G105" s="50"/>
      <c r="H105" s="51"/>
      <c r="I105" s="52"/>
      <c r="J105" s="250"/>
      <c r="K105" s="336"/>
      <c r="L105" s="271"/>
      <c r="M105" s="272"/>
      <c r="N105" s="273">
        <f>SUM(N99+N102+I107)</f>
        <v>0</v>
      </c>
      <c r="O105" s="275">
        <f>(O99*L103)+O99+O102</f>
        <v>0</v>
      </c>
      <c r="P105" s="276"/>
      <c r="Q105" s="364"/>
      <c r="R105" s="256"/>
      <c r="S105" s="3"/>
      <c r="T105" s="9">
        <v>6</v>
      </c>
      <c r="U105" s="77"/>
      <c r="V105" s="11"/>
      <c r="W105" s="11"/>
      <c r="X105" s="11"/>
    </row>
    <row r="106" spans="1:24" x14ac:dyDescent="0.35">
      <c r="A106" s="374"/>
      <c r="B106" s="379" t="str">
        <f>IF(A98=2,"DIRETO","CONEXÃO")</f>
        <v>CONEXÃO</v>
      </c>
      <c r="C106" s="365"/>
      <c r="D106" s="130" t="s">
        <v>34</v>
      </c>
      <c r="E106" s="177"/>
      <c r="F106" s="178"/>
      <c r="G106" s="178"/>
      <c r="H106" s="178"/>
      <c r="I106" s="178"/>
      <c r="J106" s="178"/>
      <c r="K106" s="179"/>
      <c r="L106" s="271"/>
      <c r="M106" s="272"/>
      <c r="N106" s="274"/>
      <c r="O106" s="277"/>
      <c r="P106" s="278"/>
      <c r="Q106" s="364"/>
      <c r="R106" s="256"/>
      <c r="S106" s="3"/>
      <c r="T106" s="9">
        <v>7</v>
      </c>
      <c r="U106" s="77"/>
      <c r="V106" s="11"/>
      <c r="W106" s="11"/>
      <c r="X106" s="11"/>
    </row>
    <row r="107" spans="1:24" x14ac:dyDescent="0.35">
      <c r="A107" s="198" t="s">
        <v>41</v>
      </c>
      <c r="B107" s="198"/>
      <c r="C107" s="198"/>
      <c r="D107" s="198"/>
      <c r="E107" s="199"/>
      <c r="F107" s="199"/>
      <c r="G107" s="200" t="s">
        <v>42</v>
      </c>
      <c r="H107" s="200"/>
      <c r="I107" s="201">
        <v>0</v>
      </c>
      <c r="J107" s="201"/>
      <c r="K107" s="201"/>
      <c r="L107" s="349" t="s">
        <v>43</v>
      </c>
      <c r="M107" s="350"/>
      <c r="N107" s="12" t="s">
        <v>44</v>
      </c>
      <c r="O107" s="287" t="s">
        <v>45</v>
      </c>
      <c r="P107" s="366"/>
      <c r="Q107" s="288" t="s">
        <v>46</v>
      </c>
      <c r="R107" s="288"/>
      <c r="S107" s="3"/>
      <c r="T107" s="9">
        <v>8</v>
      </c>
      <c r="U107" s="77"/>
      <c r="V107" s="11"/>
      <c r="W107" s="11"/>
      <c r="X107" s="11"/>
    </row>
    <row r="108" spans="1:24" ht="14.5" customHeight="1" x14ac:dyDescent="0.35">
      <c r="A108" s="185" t="s">
        <v>47</v>
      </c>
      <c r="B108" s="185"/>
      <c r="C108" s="185"/>
      <c r="D108" s="185"/>
      <c r="E108" s="289">
        <v>0</v>
      </c>
      <c r="F108" s="289"/>
      <c r="G108" s="187" t="s">
        <v>48</v>
      </c>
      <c r="H108" s="187"/>
      <c r="I108" s="184" t="s">
        <v>49</v>
      </c>
      <c r="J108" s="184"/>
      <c r="K108" s="184"/>
      <c r="L108" s="332">
        <v>0</v>
      </c>
      <c r="M108" s="333"/>
      <c r="N108" s="76">
        <f>N105*L105</f>
        <v>0</v>
      </c>
      <c r="O108" s="283">
        <f>O105*L105</f>
        <v>0</v>
      </c>
      <c r="P108" s="283"/>
      <c r="Q108" s="291">
        <f>O108-N108</f>
        <v>0</v>
      </c>
      <c r="R108" s="367"/>
      <c r="S108" s="3"/>
      <c r="T108" s="9">
        <v>9</v>
      </c>
      <c r="U108" s="77"/>
      <c r="V108" s="11"/>
      <c r="W108" s="11"/>
      <c r="X108" s="11"/>
    </row>
    <row r="109" spans="1:24" x14ac:dyDescent="0.35">
      <c r="A109" s="185" t="s">
        <v>50</v>
      </c>
      <c r="B109" s="185"/>
      <c r="C109" s="185"/>
      <c r="D109" s="185"/>
      <c r="E109" s="186">
        <v>1</v>
      </c>
      <c r="F109" s="186"/>
      <c r="G109" s="187" t="s">
        <v>51</v>
      </c>
      <c r="H109" s="187"/>
      <c r="I109" s="188" t="s">
        <v>52</v>
      </c>
      <c r="J109" s="188"/>
      <c r="K109" s="188"/>
      <c r="L109" s="360">
        <f>N109*L108</f>
        <v>0</v>
      </c>
      <c r="M109" s="361"/>
      <c r="N109" s="14">
        <f>N108*E109</f>
        <v>0</v>
      </c>
      <c r="O109" s="368">
        <f>O108*E109</f>
        <v>0</v>
      </c>
      <c r="P109" s="368"/>
      <c r="Q109" s="369">
        <f>O109-N109</f>
        <v>0</v>
      </c>
      <c r="R109" s="370"/>
      <c r="S109" s="3"/>
      <c r="T109" s="9">
        <v>10</v>
      </c>
      <c r="U109" s="77"/>
      <c r="V109" s="11"/>
      <c r="W109" s="11"/>
      <c r="X109" s="11"/>
    </row>
    <row r="110" spans="1:24" s="25" customFormat="1" ht="30.75" customHeight="1" x14ac:dyDescent="0.35"/>
    <row r="111" spans="1:24" s="25" customFormat="1" ht="19.5" customHeight="1" x14ac:dyDescent="0.45">
      <c r="A111" s="382" t="s">
        <v>60</v>
      </c>
      <c r="B111" s="254"/>
      <c r="C111" s="254"/>
      <c r="D111" s="254"/>
      <c r="E111" s="254"/>
      <c r="F111" s="254"/>
      <c r="G111" s="254"/>
      <c r="H111" s="254"/>
      <c r="I111" s="254"/>
      <c r="J111" s="254"/>
      <c r="K111" s="254"/>
      <c r="L111" s="254"/>
      <c r="M111" s="254"/>
      <c r="N111" s="254"/>
      <c r="O111" s="254"/>
      <c r="P111" s="254"/>
      <c r="Q111" s="254"/>
      <c r="R111" s="254"/>
      <c r="S111" s="254"/>
      <c r="T111" s="254"/>
      <c r="U111" s="254"/>
      <c r="V111" s="254"/>
      <c r="W111" s="254"/>
      <c r="X111" s="255"/>
    </row>
    <row r="112" spans="1:24" x14ac:dyDescent="0.35">
      <c r="A112" s="37">
        <f>COUNTIF(B114:C116," ")</f>
        <v>0</v>
      </c>
      <c r="B112" s="293" t="s">
        <v>8</v>
      </c>
      <c r="C112" s="294"/>
      <c r="D112" s="294"/>
      <c r="E112" s="295"/>
      <c r="F112" s="296"/>
      <c r="G112" s="71" t="s">
        <v>9</v>
      </c>
      <c r="H112" s="297"/>
      <c r="I112" s="298"/>
      <c r="J112" s="299"/>
      <c r="K112" s="300"/>
      <c r="L112" s="301" t="s">
        <v>10</v>
      </c>
      <c r="M112" s="302"/>
      <c r="N112" s="72"/>
      <c r="O112" s="3"/>
      <c r="P112" s="3"/>
      <c r="Q112" s="3"/>
      <c r="R112" s="70"/>
      <c r="S112" s="3"/>
      <c r="T112" s="212" t="s">
        <v>11</v>
      </c>
      <c r="U112" s="212"/>
      <c r="V112" s="212"/>
      <c r="W112" s="212"/>
      <c r="X112" s="212"/>
    </row>
    <row r="113" spans="1:24" x14ac:dyDescent="0.35">
      <c r="A113" s="37">
        <f>COUNTIF(B118:C120, " ")</f>
        <v>0</v>
      </c>
      <c r="B113" s="303" t="s">
        <v>12</v>
      </c>
      <c r="C113" s="304"/>
      <c r="D113" s="15" t="s">
        <v>13</v>
      </c>
      <c r="E113" s="4" t="s">
        <v>14</v>
      </c>
      <c r="F113" s="4" t="s">
        <v>15</v>
      </c>
      <c r="G113" s="4" t="s">
        <v>16</v>
      </c>
      <c r="H113" s="4" t="s">
        <v>17</v>
      </c>
      <c r="I113" s="5" t="s">
        <v>18</v>
      </c>
      <c r="J113" s="210" t="s">
        <v>19</v>
      </c>
      <c r="K113" s="305"/>
      <c r="L113" s="306" t="s">
        <v>20</v>
      </c>
      <c r="M113" s="307"/>
      <c r="N113" s="10" t="s">
        <v>21</v>
      </c>
      <c r="O113" s="281" t="s">
        <v>22</v>
      </c>
      <c r="P113" s="348"/>
      <c r="Q113" s="282" t="s">
        <v>23</v>
      </c>
      <c r="R113" s="282"/>
      <c r="S113" s="3"/>
      <c r="T113" s="213"/>
      <c r="U113" s="213"/>
      <c r="V113" s="213"/>
      <c r="W113" s="213"/>
      <c r="X113" s="213"/>
    </row>
    <row r="114" spans="1:24" x14ac:dyDescent="0.35">
      <c r="A114" s="189" t="s">
        <v>24</v>
      </c>
      <c r="B114" s="192"/>
      <c r="C114" s="193"/>
      <c r="D114" s="22"/>
      <c r="E114" s="138"/>
      <c r="F114" s="54"/>
      <c r="G114" s="115"/>
      <c r="H114" s="24"/>
      <c r="I114" s="41"/>
      <c r="J114" s="194"/>
      <c r="K114" s="195"/>
      <c r="L114" s="311" t="s">
        <v>56</v>
      </c>
      <c r="M114" s="312"/>
      <c r="N114" s="371"/>
      <c r="O114" s="232">
        <f>N114/L116</f>
        <v>0</v>
      </c>
      <c r="P114" s="232"/>
      <c r="Q114" s="256"/>
      <c r="R114" s="256"/>
      <c r="S114" s="3"/>
      <c r="T114" s="16"/>
      <c r="U114" s="58" t="s">
        <v>26</v>
      </c>
      <c r="V114" s="17" t="s">
        <v>27</v>
      </c>
      <c r="W114" s="17" t="s">
        <v>28</v>
      </c>
      <c r="X114" s="17" t="s">
        <v>29</v>
      </c>
    </row>
    <row r="115" spans="1:24" x14ac:dyDescent="0.35">
      <c r="A115" s="190"/>
      <c r="B115" s="249"/>
      <c r="C115" s="354"/>
      <c r="D115" s="46"/>
      <c r="E115" s="48"/>
      <c r="F115" s="49"/>
      <c r="G115" s="40"/>
      <c r="H115" s="47"/>
      <c r="I115" s="39"/>
      <c r="J115" s="261"/>
      <c r="K115" s="317"/>
      <c r="L115" s="318" t="s">
        <v>30</v>
      </c>
      <c r="M115" s="319"/>
      <c r="N115" s="371"/>
      <c r="O115" s="232"/>
      <c r="P115" s="232"/>
      <c r="Q115" s="256"/>
      <c r="R115" s="256"/>
      <c r="S115" s="3"/>
      <c r="T115" s="9">
        <v>1</v>
      </c>
      <c r="U115" s="77"/>
      <c r="V115" s="11"/>
      <c r="W115" s="11"/>
      <c r="X115" s="59"/>
    </row>
    <row r="116" spans="1:24" x14ac:dyDescent="0.35">
      <c r="A116" s="190"/>
      <c r="B116" s="249"/>
      <c r="C116" s="354"/>
      <c r="D116" s="134"/>
      <c r="E116" s="48"/>
      <c r="F116" s="49"/>
      <c r="G116" s="40"/>
      <c r="H116" s="47"/>
      <c r="I116" s="39"/>
      <c r="J116" s="261"/>
      <c r="K116" s="317"/>
      <c r="L116" s="322">
        <v>0.9</v>
      </c>
      <c r="M116" s="323"/>
      <c r="N116" s="12" t="s">
        <v>31</v>
      </c>
      <c r="O116" s="238" t="s">
        <v>32</v>
      </c>
      <c r="P116" s="238"/>
      <c r="Q116" s="185" t="s">
        <v>33</v>
      </c>
      <c r="R116" s="185"/>
      <c r="S116" s="3"/>
      <c r="T116" s="9">
        <v>2</v>
      </c>
      <c r="U116" s="77"/>
      <c r="V116" s="11"/>
      <c r="W116" s="11"/>
      <c r="X116" s="11"/>
    </row>
    <row r="117" spans="1:24" x14ac:dyDescent="0.35">
      <c r="A117" s="191"/>
      <c r="B117" s="358" t="str">
        <f>IF(A112=2,"DIRETO","CONEXÃO")</f>
        <v>CONEXÃO</v>
      </c>
      <c r="C117" s="359"/>
      <c r="D117" s="130" t="s">
        <v>34</v>
      </c>
      <c r="E117" s="180"/>
      <c r="F117" s="180"/>
      <c r="G117" s="180"/>
      <c r="H117" s="180"/>
      <c r="I117" s="180"/>
      <c r="J117" s="180"/>
      <c r="K117" s="181"/>
      <c r="L117" s="325" t="s">
        <v>35</v>
      </c>
      <c r="M117" s="326"/>
      <c r="N117" s="371"/>
      <c r="O117" s="232">
        <f>N117+I122</f>
        <v>0</v>
      </c>
      <c r="P117" s="232"/>
      <c r="Q117" s="363"/>
      <c r="R117" s="363"/>
      <c r="S117" s="3"/>
      <c r="T117" s="9">
        <v>3</v>
      </c>
      <c r="U117" s="77"/>
      <c r="V117" s="11"/>
      <c r="W117" s="11"/>
      <c r="X117" s="11"/>
    </row>
    <row r="118" spans="1:24" ht="14.5" customHeight="1" x14ac:dyDescent="0.35">
      <c r="A118" s="372" t="s">
        <v>36</v>
      </c>
      <c r="B118" s="375"/>
      <c r="C118" s="294"/>
      <c r="D118" s="136"/>
      <c r="E118" s="136"/>
      <c r="F118" s="49"/>
      <c r="G118" s="139"/>
      <c r="H118" s="140"/>
      <c r="I118" s="141"/>
      <c r="J118" s="380"/>
      <c r="K118" s="381"/>
      <c r="L118" s="332">
        <v>0.06</v>
      </c>
      <c r="M118" s="333"/>
      <c r="N118" s="371"/>
      <c r="O118" s="232"/>
      <c r="P118" s="232"/>
      <c r="Q118" s="363"/>
      <c r="R118" s="363"/>
      <c r="S118" s="3"/>
      <c r="T118" s="9">
        <v>4</v>
      </c>
      <c r="U118" s="77"/>
      <c r="V118" s="11"/>
      <c r="W118" s="11"/>
      <c r="X118" s="11"/>
    </row>
    <row r="119" spans="1:24" x14ac:dyDescent="0.35">
      <c r="A119" s="373"/>
      <c r="B119" s="378"/>
      <c r="C119" s="335"/>
      <c r="D119" s="19"/>
      <c r="E119" s="19"/>
      <c r="F119" s="20"/>
      <c r="G119" s="50"/>
      <c r="H119" s="51"/>
      <c r="I119" s="52"/>
      <c r="J119" s="250"/>
      <c r="K119" s="336"/>
      <c r="L119" s="337" t="s">
        <v>37</v>
      </c>
      <c r="M119" s="338"/>
      <c r="N119" s="12" t="s">
        <v>38</v>
      </c>
      <c r="O119" s="238" t="s">
        <v>39</v>
      </c>
      <c r="P119" s="238"/>
      <c r="Q119" s="185" t="s">
        <v>40</v>
      </c>
      <c r="R119" s="185"/>
      <c r="S119" s="3"/>
      <c r="T119" s="9">
        <v>5</v>
      </c>
      <c r="U119" s="77"/>
      <c r="V119" s="11"/>
      <c r="W119" s="11"/>
      <c r="X119" s="11"/>
    </row>
    <row r="120" spans="1:24" x14ac:dyDescent="0.35">
      <c r="A120" s="373"/>
      <c r="B120" s="378"/>
      <c r="C120" s="335"/>
      <c r="D120" s="19"/>
      <c r="E120" s="19"/>
      <c r="F120" s="20"/>
      <c r="G120" s="50"/>
      <c r="H120" s="51"/>
      <c r="I120" s="52"/>
      <c r="J120" s="250"/>
      <c r="K120" s="336"/>
      <c r="L120" s="271"/>
      <c r="M120" s="272"/>
      <c r="N120" s="273">
        <f>SUM(N114+N117+I122)</f>
        <v>0</v>
      </c>
      <c r="O120" s="275">
        <f>(O114*L118)+O114+O117</f>
        <v>0</v>
      </c>
      <c r="P120" s="276"/>
      <c r="Q120" s="364"/>
      <c r="R120" s="256"/>
      <c r="S120" s="3"/>
      <c r="T120" s="9">
        <v>6</v>
      </c>
      <c r="U120" s="77"/>
      <c r="V120" s="11"/>
      <c r="W120" s="11"/>
      <c r="X120" s="11"/>
    </row>
    <row r="121" spans="1:24" x14ac:dyDescent="0.35">
      <c r="A121" s="374"/>
      <c r="B121" s="379" t="str">
        <f>IF(A113=2,"DIRETO","CONEXÃO")</f>
        <v>CONEXÃO</v>
      </c>
      <c r="C121" s="365"/>
      <c r="D121" s="130" t="s">
        <v>34</v>
      </c>
      <c r="E121" s="177"/>
      <c r="F121" s="178"/>
      <c r="G121" s="178"/>
      <c r="H121" s="178"/>
      <c r="I121" s="178"/>
      <c r="J121" s="178"/>
      <c r="K121" s="179"/>
      <c r="L121" s="271"/>
      <c r="M121" s="272"/>
      <c r="N121" s="274"/>
      <c r="O121" s="277"/>
      <c r="P121" s="278"/>
      <c r="Q121" s="364"/>
      <c r="R121" s="256"/>
      <c r="S121" s="3"/>
      <c r="T121" s="9">
        <v>7</v>
      </c>
      <c r="U121" s="77"/>
      <c r="V121" s="11"/>
      <c r="W121" s="11"/>
      <c r="X121" s="11"/>
    </row>
    <row r="122" spans="1:24" x14ac:dyDescent="0.35">
      <c r="A122" s="198" t="s">
        <v>41</v>
      </c>
      <c r="B122" s="198"/>
      <c r="C122" s="198"/>
      <c r="D122" s="198"/>
      <c r="E122" s="199"/>
      <c r="F122" s="199"/>
      <c r="G122" s="200" t="s">
        <v>42</v>
      </c>
      <c r="H122" s="200"/>
      <c r="I122" s="201">
        <v>0</v>
      </c>
      <c r="J122" s="201"/>
      <c r="K122" s="201"/>
      <c r="L122" s="349" t="s">
        <v>43</v>
      </c>
      <c r="M122" s="350"/>
      <c r="N122" s="12" t="s">
        <v>44</v>
      </c>
      <c r="O122" s="287" t="s">
        <v>45</v>
      </c>
      <c r="P122" s="366"/>
      <c r="Q122" s="288" t="s">
        <v>46</v>
      </c>
      <c r="R122" s="288"/>
      <c r="S122" s="3"/>
      <c r="T122" s="9">
        <v>8</v>
      </c>
      <c r="U122" s="77"/>
      <c r="V122" s="11"/>
      <c r="W122" s="11"/>
      <c r="X122" s="11"/>
    </row>
    <row r="123" spans="1:24" ht="14.5" customHeight="1" x14ac:dyDescent="0.35">
      <c r="A123" s="185" t="s">
        <v>47</v>
      </c>
      <c r="B123" s="185"/>
      <c r="C123" s="185"/>
      <c r="D123" s="185"/>
      <c r="E123" s="289">
        <v>0</v>
      </c>
      <c r="F123" s="289"/>
      <c r="G123" s="187" t="s">
        <v>48</v>
      </c>
      <c r="H123" s="187"/>
      <c r="I123" s="184" t="s">
        <v>49</v>
      </c>
      <c r="J123" s="184"/>
      <c r="K123" s="184"/>
      <c r="L123" s="332">
        <v>0</v>
      </c>
      <c r="M123" s="333"/>
      <c r="N123" s="76">
        <f>N120*L120</f>
        <v>0</v>
      </c>
      <c r="O123" s="283">
        <f>O120*L120</f>
        <v>0</v>
      </c>
      <c r="P123" s="283"/>
      <c r="Q123" s="291">
        <f>O123-N123</f>
        <v>0</v>
      </c>
      <c r="R123" s="367"/>
      <c r="S123" s="3"/>
      <c r="T123" s="9">
        <v>9</v>
      </c>
      <c r="U123" s="77"/>
      <c r="V123" s="11"/>
      <c r="W123" s="11"/>
      <c r="X123" s="11"/>
    </row>
    <row r="124" spans="1:24" x14ac:dyDescent="0.35">
      <c r="A124" s="185" t="s">
        <v>50</v>
      </c>
      <c r="B124" s="185"/>
      <c r="C124" s="185"/>
      <c r="D124" s="185"/>
      <c r="E124" s="186">
        <v>1</v>
      </c>
      <c r="F124" s="186"/>
      <c r="G124" s="187" t="s">
        <v>51</v>
      </c>
      <c r="H124" s="187"/>
      <c r="I124" s="188" t="s">
        <v>52</v>
      </c>
      <c r="J124" s="188"/>
      <c r="K124" s="188"/>
      <c r="L124" s="360">
        <f>N124*L123</f>
        <v>0</v>
      </c>
      <c r="M124" s="361"/>
      <c r="N124" s="14">
        <f>N123*E124</f>
        <v>0</v>
      </c>
      <c r="O124" s="368">
        <f>O123*E124</f>
        <v>0</v>
      </c>
      <c r="P124" s="368"/>
      <c r="Q124" s="369">
        <f>O124-N124</f>
        <v>0</v>
      </c>
      <c r="R124" s="370"/>
      <c r="S124" s="3"/>
      <c r="T124" s="9">
        <v>10</v>
      </c>
      <c r="U124" s="77"/>
      <c r="V124" s="11"/>
      <c r="W124" s="11"/>
      <c r="X124" s="11"/>
    </row>
    <row r="125" spans="1:24" s="25" customFormat="1" ht="30.75" customHeight="1" x14ac:dyDescent="0.35"/>
    <row r="126" spans="1:24" s="25" customFormat="1" ht="19.5" customHeight="1" x14ac:dyDescent="0.45">
      <c r="A126" s="382" t="s">
        <v>61</v>
      </c>
      <c r="B126" s="254"/>
      <c r="C126" s="254"/>
      <c r="D126" s="254"/>
      <c r="E126" s="254"/>
      <c r="F126" s="254"/>
      <c r="G126" s="254"/>
      <c r="H126" s="254"/>
      <c r="I126" s="254"/>
      <c r="J126" s="254"/>
      <c r="K126" s="254"/>
      <c r="L126" s="254"/>
      <c r="M126" s="254"/>
      <c r="N126" s="254"/>
      <c r="O126" s="254"/>
      <c r="P126" s="254"/>
      <c r="Q126" s="254"/>
      <c r="R126" s="254"/>
      <c r="S126" s="254"/>
      <c r="T126" s="254"/>
      <c r="U126" s="254"/>
      <c r="V126" s="254"/>
      <c r="W126" s="254"/>
      <c r="X126" s="255"/>
    </row>
    <row r="127" spans="1:24" x14ac:dyDescent="0.35">
      <c r="A127" s="37">
        <f>COUNTIF(B129:C131," ")</f>
        <v>0</v>
      </c>
      <c r="B127" s="293" t="s">
        <v>8</v>
      </c>
      <c r="C127" s="294"/>
      <c r="D127" s="294"/>
      <c r="E127" s="343"/>
      <c r="F127" s="344"/>
      <c r="G127" s="71" t="s">
        <v>9</v>
      </c>
      <c r="H127" s="345"/>
      <c r="I127" s="343"/>
      <c r="J127" s="346"/>
      <c r="K127" s="347"/>
      <c r="L127" s="301" t="s">
        <v>10</v>
      </c>
      <c r="M127" s="302"/>
      <c r="N127" s="72"/>
      <c r="O127" s="3"/>
      <c r="P127" s="3"/>
      <c r="Q127" s="3"/>
      <c r="R127" s="70"/>
      <c r="S127" s="3"/>
      <c r="T127" s="212" t="s">
        <v>11</v>
      </c>
      <c r="U127" s="212"/>
      <c r="V127" s="212"/>
      <c r="W127" s="212"/>
      <c r="X127" s="212"/>
    </row>
    <row r="128" spans="1:24" x14ac:dyDescent="0.35">
      <c r="A128" s="37">
        <f>COUNTIF(B133:C135, " ")</f>
        <v>0</v>
      </c>
      <c r="B128" s="303" t="s">
        <v>12</v>
      </c>
      <c r="C128" s="304"/>
      <c r="D128" s="15" t="s">
        <v>13</v>
      </c>
      <c r="E128" s="4" t="s">
        <v>14</v>
      </c>
      <c r="F128" s="4" t="s">
        <v>15</v>
      </c>
      <c r="G128" s="4" t="s">
        <v>16</v>
      </c>
      <c r="H128" s="4" t="s">
        <v>17</v>
      </c>
      <c r="I128" s="5" t="s">
        <v>18</v>
      </c>
      <c r="J128" s="210" t="s">
        <v>19</v>
      </c>
      <c r="K128" s="305"/>
      <c r="L128" s="306" t="s">
        <v>20</v>
      </c>
      <c r="M128" s="307"/>
      <c r="N128" s="10" t="s">
        <v>21</v>
      </c>
      <c r="O128" s="281" t="s">
        <v>22</v>
      </c>
      <c r="P128" s="348"/>
      <c r="Q128" s="282" t="s">
        <v>23</v>
      </c>
      <c r="R128" s="282"/>
      <c r="S128" s="3"/>
      <c r="T128" s="213"/>
      <c r="U128" s="213"/>
      <c r="V128" s="213"/>
      <c r="W128" s="213"/>
      <c r="X128" s="213"/>
    </row>
    <row r="129" spans="1:24" x14ac:dyDescent="0.35">
      <c r="A129" s="189" t="s">
        <v>24</v>
      </c>
      <c r="B129" s="192"/>
      <c r="C129" s="193"/>
      <c r="D129" s="22"/>
      <c r="E129" s="138"/>
      <c r="F129" s="54"/>
      <c r="G129" s="115"/>
      <c r="H129" s="24"/>
      <c r="I129" s="41"/>
      <c r="J129" s="194"/>
      <c r="K129" s="195"/>
      <c r="L129" s="311" t="s">
        <v>56</v>
      </c>
      <c r="M129" s="312"/>
      <c r="N129" s="371"/>
      <c r="O129" s="232">
        <f>N129/L131</f>
        <v>0</v>
      </c>
      <c r="P129" s="232"/>
      <c r="Q129" s="256"/>
      <c r="R129" s="256"/>
      <c r="S129" s="3"/>
      <c r="T129" s="16"/>
      <c r="U129" s="58" t="s">
        <v>26</v>
      </c>
      <c r="V129" s="17" t="s">
        <v>27</v>
      </c>
      <c r="W129" s="17" t="s">
        <v>28</v>
      </c>
      <c r="X129" s="17" t="s">
        <v>29</v>
      </c>
    </row>
    <row r="130" spans="1:24" x14ac:dyDescent="0.35">
      <c r="A130" s="190"/>
      <c r="B130" s="249"/>
      <c r="C130" s="354"/>
      <c r="D130" s="46"/>
      <c r="E130" s="48"/>
      <c r="F130" s="49"/>
      <c r="G130" s="40"/>
      <c r="H130" s="47"/>
      <c r="I130" s="39"/>
      <c r="J130" s="261"/>
      <c r="K130" s="317"/>
      <c r="L130" s="318" t="s">
        <v>30</v>
      </c>
      <c r="M130" s="319"/>
      <c r="N130" s="371"/>
      <c r="O130" s="232"/>
      <c r="P130" s="232"/>
      <c r="Q130" s="256"/>
      <c r="R130" s="256"/>
      <c r="S130" s="3"/>
      <c r="T130" s="9">
        <v>1</v>
      </c>
      <c r="U130" s="77"/>
      <c r="V130" s="11"/>
      <c r="W130" s="11"/>
      <c r="X130" s="59"/>
    </row>
    <row r="131" spans="1:24" x14ac:dyDescent="0.35">
      <c r="A131" s="190"/>
      <c r="B131" s="249"/>
      <c r="C131" s="354"/>
      <c r="D131" s="134"/>
      <c r="E131" s="48"/>
      <c r="F131" s="49"/>
      <c r="G131" s="40"/>
      <c r="H131" s="47"/>
      <c r="I131" s="39"/>
      <c r="J131" s="261"/>
      <c r="K131" s="317"/>
      <c r="L131" s="322">
        <v>0.9</v>
      </c>
      <c r="M131" s="323"/>
      <c r="N131" s="12" t="s">
        <v>31</v>
      </c>
      <c r="O131" s="238" t="s">
        <v>32</v>
      </c>
      <c r="P131" s="238"/>
      <c r="Q131" s="185" t="s">
        <v>33</v>
      </c>
      <c r="R131" s="185"/>
      <c r="S131" s="3"/>
      <c r="T131" s="9">
        <v>2</v>
      </c>
      <c r="U131" s="77"/>
      <c r="V131" s="11"/>
      <c r="W131" s="11"/>
      <c r="X131" s="11"/>
    </row>
    <row r="132" spans="1:24" x14ac:dyDescent="0.35">
      <c r="A132" s="191"/>
      <c r="B132" s="358" t="str">
        <f>IF(A127=2,"DIRETO","CONEXÃO")</f>
        <v>CONEXÃO</v>
      </c>
      <c r="C132" s="359"/>
      <c r="D132" s="130" t="s">
        <v>34</v>
      </c>
      <c r="E132" s="180"/>
      <c r="F132" s="180"/>
      <c r="G132" s="180"/>
      <c r="H132" s="180"/>
      <c r="I132" s="180"/>
      <c r="J132" s="180"/>
      <c r="K132" s="181"/>
      <c r="L132" s="325" t="s">
        <v>35</v>
      </c>
      <c r="M132" s="326"/>
      <c r="N132" s="371"/>
      <c r="O132" s="232">
        <f>N132+I137</f>
        <v>0</v>
      </c>
      <c r="P132" s="232"/>
      <c r="Q132" s="363"/>
      <c r="R132" s="363"/>
      <c r="S132" s="3"/>
      <c r="T132" s="9">
        <v>3</v>
      </c>
      <c r="U132" s="77"/>
      <c r="V132" s="11"/>
      <c r="W132" s="11"/>
      <c r="X132" s="11"/>
    </row>
    <row r="133" spans="1:24" ht="14.5" customHeight="1" x14ac:dyDescent="0.35">
      <c r="A133" s="372" t="s">
        <v>36</v>
      </c>
      <c r="B133" s="375"/>
      <c r="C133" s="294"/>
      <c r="D133" s="136"/>
      <c r="E133" s="136"/>
      <c r="F133" s="49"/>
      <c r="G133" s="139"/>
      <c r="H133" s="140"/>
      <c r="I133" s="141"/>
      <c r="J133" s="380"/>
      <c r="K133" s="381"/>
      <c r="L133" s="332">
        <v>0.06</v>
      </c>
      <c r="M133" s="333"/>
      <c r="N133" s="371"/>
      <c r="O133" s="232"/>
      <c r="P133" s="232"/>
      <c r="Q133" s="363"/>
      <c r="R133" s="363"/>
      <c r="S133" s="3"/>
      <c r="T133" s="9">
        <v>4</v>
      </c>
      <c r="U133" s="77"/>
      <c r="V133" s="11"/>
      <c r="W133" s="11"/>
      <c r="X133" s="11"/>
    </row>
    <row r="134" spans="1:24" x14ac:dyDescent="0.35">
      <c r="A134" s="373"/>
      <c r="B134" s="378"/>
      <c r="C134" s="335"/>
      <c r="D134" s="19"/>
      <c r="E134" s="19"/>
      <c r="F134" s="20"/>
      <c r="G134" s="50"/>
      <c r="H134" s="51"/>
      <c r="I134" s="52"/>
      <c r="J134" s="250"/>
      <c r="K134" s="336"/>
      <c r="L134" s="337" t="s">
        <v>37</v>
      </c>
      <c r="M134" s="338"/>
      <c r="N134" s="12" t="s">
        <v>38</v>
      </c>
      <c r="O134" s="238" t="s">
        <v>39</v>
      </c>
      <c r="P134" s="238"/>
      <c r="Q134" s="185" t="s">
        <v>40</v>
      </c>
      <c r="R134" s="185"/>
      <c r="S134" s="3"/>
      <c r="T134" s="9">
        <v>5</v>
      </c>
      <c r="U134" s="77"/>
      <c r="V134" s="11"/>
      <c r="W134" s="11"/>
      <c r="X134" s="11"/>
    </row>
    <row r="135" spans="1:24" x14ac:dyDescent="0.35">
      <c r="A135" s="373"/>
      <c r="B135" s="378"/>
      <c r="C135" s="335"/>
      <c r="D135" s="19"/>
      <c r="E135" s="19"/>
      <c r="F135" s="20"/>
      <c r="G135" s="50"/>
      <c r="H135" s="51"/>
      <c r="I135" s="52"/>
      <c r="J135" s="250"/>
      <c r="K135" s="336"/>
      <c r="L135" s="271"/>
      <c r="M135" s="272"/>
      <c r="N135" s="273">
        <f>SUM(N129+N132+I137)</f>
        <v>0</v>
      </c>
      <c r="O135" s="275">
        <f>(O129*L133)+O129+O132</f>
        <v>0</v>
      </c>
      <c r="P135" s="276"/>
      <c r="Q135" s="364"/>
      <c r="R135" s="256"/>
      <c r="S135" s="3"/>
      <c r="T135" s="9">
        <v>6</v>
      </c>
      <c r="U135" s="77"/>
      <c r="V135" s="11"/>
      <c r="W135" s="11"/>
      <c r="X135" s="11"/>
    </row>
    <row r="136" spans="1:24" x14ac:dyDescent="0.35">
      <c r="A136" s="374"/>
      <c r="B136" s="379" t="str">
        <f>IF(A128=2,"DIRETO","CONEXÃO")</f>
        <v>CONEXÃO</v>
      </c>
      <c r="C136" s="365"/>
      <c r="D136" s="130" t="s">
        <v>34</v>
      </c>
      <c r="E136" s="177"/>
      <c r="F136" s="178"/>
      <c r="G136" s="178"/>
      <c r="H136" s="178"/>
      <c r="I136" s="178"/>
      <c r="J136" s="178"/>
      <c r="K136" s="179"/>
      <c r="L136" s="271"/>
      <c r="M136" s="272"/>
      <c r="N136" s="274"/>
      <c r="O136" s="277"/>
      <c r="P136" s="278"/>
      <c r="Q136" s="364"/>
      <c r="R136" s="256"/>
      <c r="S136" s="3"/>
      <c r="T136" s="9">
        <v>7</v>
      </c>
      <c r="U136" s="77"/>
      <c r="V136" s="11"/>
      <c r="W136" s="11"/>
      <c r="X136" s="11"/>
    </row>
    <row r="137" spans="1:24" x14ac:dyDescent="0.35">
      <c r="A137" s="198" t="s">
        <v>41</v>
      </c>
      <c r="B137" s="198"/>
      <c r="C137" s="198"/>
      <c r="D137" s="198"/>
      <c r="E137" s="199"/>
      <c r="F137" s="199"/>
      <c r="G137" s="200" t="s">
        <v>42</v>
      </c>
      <c r="H137" s="200"/>
      <c r="I137" s="201">
        <v>0</v>
      </c>
      <c r="J137" s="201"/>
      <c r="K137" s="201"/>
      <c r="L137" s="349" t="s">
        <v>43</v>
      </c>
      <c r="M137" s="350"/>
      <c r="N137" s="12" t="s">
        <v>44</v>
      </c>
      <c r="O137" s="287" t="s">
        <v>45</v>
      </c>
      <c r="P137" s="366"/>
      <c r="Q137" s="288" t="s">
        <v>46</v>
      </c>
      <c r="R137" s="288"/>
      <c r="S137" s="3"/>
      <c r="T137" s="9">
        <v>8</v>
      </c>
      <c r="U137" s="77"/>
      <c r="V137" s="11"/>
      <c r="W137" s="11"/>
      <c r="X137" s="11"/>
    </row>
    <row r="138" spans="1:24" ht="14.5" customHeight="1" x14ac:dyDescent="0.35">
      <c r="A138" s="185" t="s">
        <v>47</v>
      </c>
      <c r="B138" s="185"/>
      <c r="C138" s="185"/>
      <c r="D138" s="185"/>
      <c r="E138" s="289">
        <v>0</v>
      </c>
      <c r="F138" s="289"/>
      <c r="G138" s="187" t="s">
        <v>48</v>
      </c>
      <c r="H138" s="187"/>
      <c r="I138" s="184" t="s">
        <v>49</v>
      </c>
      <c r="J138" s="184"/>
      <c r="K138" s="184"/>
      <c r="L138" s="332">
        <v>0</v>
      </c>
      <c r="M138" s="333"/>
      <c r="N138" s="76">
        <f>N135*L135</f>
        <v>0</v>
      </c>
      <c r="O138" s="283">
        <f>O135*L135</f>
        <v>0</v>
      </c>
      <c r="P138" s="283"/>
      <c r="Q138" s="291">
        <f>O138-N138</f>
        <v>0</v>
      </c>
      <c r="R138" s="367"/>
      <c r="S138" s="3"/>
      <c r="T138" s="9">
        <v>9</v>
      </c>
      <c r="U138" s="77"/>
      <c r="V138" s="11"/>
      <c r="W138" s="11"/>
      <c r="X138" s="11"/>
    </row>
    <row r="139" spans="1:24" x14ac:dyDescent="0.35">
      <c r="A139" s="185" t="s">
        <v>50</v>
      </c>
      <c r="B139" s="185"/>
      <c r="C139" s="185"/>
      <c r="D139" s="185"/>
      <c r="E139" s="186">
        <v>1</v>
      </c>
      <c r="F139" s="186"/>
      <c r="G139" s="187" t="s">
        <v>51</v>
      </c>
      <c r="H139" s="187"/>
      <c r="I139" s="188" t="s">
        <v>52</v>
      </c>
      <c r="J139" s="188"/>
      <c r="K139" s="188"/>
      <c r="L139" s="360">
        <f>N139*L138</f>
        <v>0</v>
      </c>
      <c r="M139" s="361"/>
      <c r="N139" s="14">
        <f>N138*E139</f>
        <v>0</v>
      </c>
      <c r="O139" s="368">
        <f>O138*E139</f>
        <v>0</v>
      </c>
      <c r="P139" s="368"/>
      <c r="Q139" s="369">
        <f>O139-N139</f>
        <v>0</v>
      </c>
      <c r="R139" s="370"/>
      <c r="S139" s="3"/>
      <c r="T139" s="9">
        <v>10</v>
      </c>
      <c r="U139" s="77"/>
      <c r="V139" s="11"/>
      <c r="W139" s="11"/>
      <c r="X139" s="11"/>
    </row>
    <row r="140" spans="1:24" s="25" customFormat="1" ht="30.75" customHeight="1" x14ac:dyDescent="0.35"/>
    <row r="141" spans="1:24" s="25" customFormat="1" ht="19.5" customHeight="1" x14ac:dyDescent="0.45">
      <c r="A141" s="382" t="s">
        <v>62</v>
      </c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54"/>
      <c r="T141" s="254"/>
      <c r="U141" s="254"/>
      <c r="V141" s="254"/>
      <c r="W141" s="254"/>
      <c r="X141" s="255"/>
    </row>
    <row r="142" spans="1:24" x14ac:dyDescent="0.35">
      <c r="A142" s="37">
        <f>COUNTIF(B144:C146," ")</f>
        <v>0</v>
      </c>
      <c r="B142" s="293" t="s">
        <v>8</v>
      </c>
      <c r="C142" s="294"/>
      <c r="D142" s="294"/>
      <c r="E142" s="295"/>
      <c r="F142" s="296"/>
      <c r="G142" s="71" t="s">
        <v>9</v>
      </c>
      <c r="H142" s="297"/>
      <c r="I142" s="298"/>
      <c r="J142" s="299"/>
      <c r="K142" s="300"/>
      <c r="L142" s="301" t="s">
        <v>10</v>
      </c>
      <c r="M142" s="302"/>
      <c r="N142" s="72"/>
      <c r="O142" s="3"/>
      <c r="P142" s="3"/>
      <c r="Q142" s="3"/>
      <c r="R142" s="70"/>
      <c r="S142" s="3"/>
      <c r="T142" s="212" t="s">
        <v>11</v>
      </c>
      <c r="U142" s="212"/>
      <c r="V142" s="212"/>
      <c r="W142" s="212"/>
      <c r="X142" s="212"/>
    </row>
    <row r="143" spans="1:24" x14ac:dyDescent="0.35">
      <c r="A143" s="37">
        <f>COUNTIF(B148:C150, " ")</f>
        <v>0</v>
      </c>
      <c r="B143" s="303" t="s">
        <v>12</v>
      </c>
      <c r="C143" s="304"/>
      <c r="D143" s="15" t="s">
        <v>13</v>
      </c>
      <c r="E143" s="4" t="s">
        <v>14</v>
      </c>
      <c r="F143" s="4" t="s">
        <v>15</v>
      </c>
      <c r="G143" s="4" t="s">
        <v>16</v>
      </c>
      <c r="H143" s="4" t="s">
        <v>17</v>
      </c>
      <c r="I143" s="5" t="s">
        <v>18</v>
      </c>
      <c r="J143" s="210" t="s">
        <v>19</v>
      </c>
      <c r="K143" s="305"/>
      <c r="L143" s="306" t="s">
        <v>20</v>
      </c>
      <c r="M143" s="307"/>
      <c r="N143" s="10" t="s">
        <v>21</v>
      </c>
      <c r="O143" s="281" t="s">
        <v>22</v>
      </c>
      <c r="P143" s="348"/>
      <c r="Q143" s="282" t="s">
        <v>23</v>
      </c>
      <c r="R143" s="282"/>
      <c r="S143" s="3"/>
      <c r="T143" s="213"/>
      <c r="U143" s="213"/>
      <c r="V143" s="213"/>
      <c r="W143" s="213"/>
      <c r="X143" s="213"/>
    </row>
    <row r="144" spans="1:24" x14ac:dyDescent="0.35">
      <c r="A144" s="189" t="s">
        <v>24</v>
      </c>
      <c r="B144" s="383"/>
      <c r="C144" s="384"/>
      <c r="D144" s="22"/>
      <c r="E144" s="138"/>
      <c r="F144" s="54"/>
      <c r="G144" s="115"/>
      <c r="H144" s="24"/>
      <c r="I144" s="41"/>
      <c r="J144" s="194"/>
      <c r="K144" s="195"/>
      <c r="L144" s="311" t="s">
        <v>56</v>
      </c>
      <c r="M144" s="312"/>
      <c r="N144" s="371"/>
      <c r="O144" s="232">
        <f>N144/L146</f>
        <v>0</v>
      </c>
      <c r="P144" s="232"/>
      <c r="Q144" s="256"/>
      <c r="R144" s="256"/>
      <c r="S144" s="3"/>
      <c r="T144" s="16"/>
      <c r="U144" s="58" t="s">
        <v>26</v>
      </c>
      <c r="V144" s="17" t="s">
        <v>27</v>
      </c>
      <c r="W144" s="17" t="s">
        <v>28</v>
      </c>
      <c r="X144" s="17" t="s">
        <v>29</v>
      </c>
    </row>
    <row r="145" spans="1:24" x14ac:dyDescent="0.35">
      <c r="A145" s="190"/>
      <c r="B145" s="249"/>
      <c r="C145" s="354"/>
      <c r="D145" s="46"/>
      <c r="E145" s="48"/>
      <c r="F145" s="49"/>
      <c r="G145" s="40"/>
      <c r="H145" s="47"/>
      <c r="I145" s="39"/>
      <c r="J145" s="261"/>
      <c r="K145" s="317"/>
      <c r="L145" s="318" t="s">
        <v>30</v>
      </c>
      <c r="M145" s="319"/>
      <c r="N145" s="371"/>
      <c r="O145" s="232"/>
      <c r="P145" s="232"/>
      <c r="Q145" s="256"/>
      <c r="R145" s="256"/>
      <c r="S145" s="3"/>
      <c r="T145" s="9">
        <v>1</v>
      </c>
      <c r="U145" s="77"/>
      <c r="V145" s="11"/>
      <c r="W145" s="11"/>
      <c r="X145" s="59"/>
    </row>
    <row r="146" spans="1:24" x14ac:dyDescent="0.35">
      <c r="A146" s="190"/>
      <c r="B146" s="249"/>
      <c r="C146" s="354"/>
      <c r="D146" s="134"/>
      <c r="E146" s="48"/>
      <c r="F146" s="49"/>
      <c r="G146" s="40"/>
      <c r="H146" s="47"/>
      <c r="I146" s="39"/>
      <c r="J146" s="261"/>
      <c r="K146" s="317"/>
      <c r="L146" s="322">
        <v>0.9</v>
      </c>
      <c r="M146" s="323"/>
      <c r="N146" s="12" t="s">
        <v>31</v>
      </c>
      <c r="O146" s="238" t="s">
        <v>32</v>
      </c>
      <c r="P146" s="238"/>
      <c r="Q146" s="185" t="s">
        <v>33</v>
      </c>
      <c r="R146" s="185"/>
      <c r="S146" s="3"/>
      <c r="T146" s="9">
        <v>2</v>
      </c>
      <c r="U146" s="77"/>
      <c r="V146" s="11"/>
      <c r="W146" s="11"/>
      <c r="X146" s="11"/>
    </row>
    <row r="147" spans="1:24" x14ac:dyDescent="0.35">
      <c r="A147" s="191"/>
      <c r="B147" s="358" t="str">
        <f>IF(A142=2,"DIRETO","CONEXÃO")</f>
        <v>CONEXÃO</v>
      </c>
      <c r="C147" s="359"/>
      <c r="D147" s="130" t="s">
        <v>34</v>
      </c>
      <c r="E147" s="180"/>
      <c r="F147" s="180"/>
      <c r="G147" s="180"/>
      <c r="H147" s="180"/>
      <c r="I147" s="180"/>
      <c r="J147" s="180"/>
      <c r="K147" s="181"/>
      <c r="L147" s="131" t="s">
        <v>35</v>
      </c>
      <c r="M147" s="132"/>
      <c r="N147" s="371"/>
      <c r="O147" s="232">
        <f>N147+I152</f>
        <v>0</v>
      </c>
      <c r="P147" s="232"/>
      <c r="Q147" s="363"/>
      <c r="R147" s="363"/>
      <c r="S147" s="3"/>
      <c r="T147" s="9">
        <v>3</v>
      </c>
      <c r="U147" s="77"/>
      <c r="V147" s="11"/>
      <c r="W147" s="11"/>
      <c r="X147" s="11"/>
    </row>
    <row r="148" spans="1:24" ht="14.5" customHeight="1" x14ac:dyDescent="0.35">
      <c r="A148" s="372" t="s">
        <v>36</v>
      </c>
      <c r="B148" s="375"/>
      <c r="C148" s="294"/>
      <c r="D148" s="136"/>
      <c r="E148" s="136"/>
      <c r="F148" s="49"/>
      <c r="G148" s="139"/>
      <c r="H148" s="140"/>
      <c r="I148" s="141"/>
      <c r="J148" s="380"/>
      <c r="K148" s="381"/>
      <c r="L148" s="332">
        <v>0.06</v>
      </c>
      <c r="M148" s="333"/>
      <c r="N148" s="371"/>
      <c r="O148" s="232"/>
      <c r="P148" s="232"/>
      <c r="Q148" s="363"/>
      <c r="R148" s="363"/>
      <c r="S148" s="3"/>
      <c r="T148" s="9">
        <v>4</v>
      </c>
      <c r="U148" s="77"/>
      <c r="V148" s="11"/>
      <c r="W148" s="11"/>
      <c r="X148" s="11"/>
    </row>
    <row r="149" spans="1:24" x14ac:dyDescent="0.35">
      <c r="A149" s="373"/>
      <c r="B149" s="378"/>
      <c r="C149" s="335"/>
      <c r="D149" s="19"/>
      <c r="E149" s="19"/>
      <c r="F149" s="20"/>
      <c r="G149" s="50"/>
      <c r="H149" s="51"/>
      <c r="I149" s="52"/>
      <c r="J149" s="250"/>
      <c r="K149" s="336"/>
      <c r="L149" s="337" t="s">
        <v>37</v>
      </c>
      <c r="M149" s="338"/>
      <c r="N149" s="12" t="s">
        <v>38</v>
      </c>
      <c r="O149" s="238" t="s">
        <v>39</v>
      </c>
      <c r="P149" s="238"/>
      <c r="Q149" s="185" t="s">
        <v>40</v>
      </c>
      <c r="R149" s="185"/>
      <c r="S149" s="3"/>
      <c r="T149" s="9">
        <v>5</v>
      </c>
      <c r="U149" s="77"/>
      <c r="V149" s="11"/>
      <c r="W149" s="11"/>
      <c r="X149" s="11"/>
    </row>
    <row r="150" spans="1:24" x14ac:dyDescent="0.35">
      <c r="A150" s="373"/>
      <c r="B150" s="378"/>
      <c r="C150" s="335"/>
      <c r="D150" s="19"/>
      <c r="E150" s="19"/>
      <c r="F150" s="20"/>
      <c r="G150" s="50"/>
      <c r="H150" s="51"/>
      <c r="I150" s="52"/>
      <c r="J150" s="250"/>
      <c r="K150" s="336"/>
      <c r="L150" s="385">
        <f>IF(COUNTA(U145:U154)=0,1,COUNTA(U145:U154))</f>
        <v>1</v>
      </c>
      <c r="M150" s="386"/>
      <c r="N150" s="273">
        <f>SUM(N144+N147+I152)</f>
        <v>0</v>
      </c>
      <c r="O150" s="275">
        <f>(O144*L148)+O144+O147</f>
        <v>0</v>
      </c>
      <c r="P150" s="276"/>
      <c r="Q150" s="364"/>
      <c r="R150" s="256"/>
      <c r="S150" s="3"/>
      <c r="T150" s="9">
        <v>6</v>
      </c>
      <c r="U150" s="77"/>
      <c r="V150" s="11"/>
      <c r="W150" s="11"/>
      <c r="X150" s="11"/>
    </row>
    <row r="151" spans="1:24" x14ac:dyDescent="0.35">
      <c r="A151" s="374"/>
      <c r="B151" s="379" t="str">
        <f>IF(A143=2,"DIRETO","CONEXÃO")</f>
        <v>CONEXÃO</v>
      </c>
      <c r="C151" s="365"/>
      <c r="D151" s="130" t="s">
        <v>34</v>
      </c>
      <c r="E151" s="177"/>
      <c r="F151" s="178"/>
      <c r="G151" s="178"/>
      <c r="H151" s="178"/>
      <c r="I151" s="178"/>
      <c r="J151" s="178"/>
      <c r="K151" s="179"/>
      <c r="L151" s="385"/>
      <c r="M151" s="386"/>
      <c r="N151" s="274"/>
      <c r="O151" s="277"/>
      <c r="P151" s="278"/>
      <c r="Q151" s="364"/>
      <c r="R151" s="256"/>
      <c r="S151" s="3"/>
      <c r="T151" s="9">
        <v>7</v>
      </c>
      <c r="U151" s="77"/>
      <c r="V151" s="11"/>
      <c r="W151" s="11"/>
      <c r="X151" s="11"/>
    </row>
    <row r="152" spans="1:24" x14ac:dyDescent="0.35">
      <c r="A152" s="198" t="s">
        <v>41</v>
      </c>
      <c r="B152" s="198"/>
      <c r="C152" s="198"/>
      <c r="D152" s="198"/>
      <c r="E152" s="199"/>
      <c r="F152" s="199"/>
      <c r="G152" s="200" t="s">
        <v>42</v>
      </c>
      <c r="H152" s="200"/>
      <c r="I152" s="201">
        <v>0</v>
      </c>
      <c r="J152" s="201"/>
      <c r="K152" s="201"/>
      <c r="L152" s="349" t="s">
        <v>43</v>
      </c>
      <c r="M152" s="350"/>
      <c r="N152" s="12" t="s">
        <v>44</v>
      </c>
      <c r="O152" s="287" t="s">
        <v>45</v>
      </c>
      <c r="P152" s="366"/>
      <c r="Q152" s="288" t="s">
        <v>46</v>
      </c>
      <c r="R152" s="288"/>
      <c r="S152" s="3"/>
      <c r="T152" s="9">
        <v>8</v>
      </c>
      <c r="U152" s="77"/>
      <c r="V152" s="11"/>
      <c r="W152" s="11"/>
      <c r="X152" s="11"/>
    </row>
    <row r="153" spans="1:24" ht="14.5" customHeight="1" x14ac:dyDescent="0.35">
      <c r="A153" s="185" t="s">
        <v>47</v>
      </c>
      <c r="B153" s="185"/>
      <c r="C153" s="185"/>
      <c r="D153" s="185"/>
      <c r="E153" s="289">
        <v>0</v>
      </c>
      <c r="F153" s="289"/>
      <c r="G153" s="187" t="s">
        <v>48</v>
      </c>
      <c r="H153" s="187"/>
      <c r="I153" s="184" t="s">
        <v>49</v>
      </c>
      <c r="J153" s="184"/>
      <c r="K153" s="184"/>
      <c r="L153" s="332">
        <v>0</v>
      </c>
      <c r="M153" s="333"/>
      <c r="N153" s="76">
        <f>N150*L150</f>
        <v>0</v>
      </c>
      <c r="O153" s="283">
        <f>O150*L150</f>
        <v>0</v>
      </c>
      <c r="P153" s="283"/>
      <c r="Q153" s="291">
        <f>O153-N153</f>
        <v>0</v>
      </c>
      <c r="R153" s="367"/>
      <c r="S153" s="3"/>
      <c r="T153" s="9">
        <v>9</v>
      </c>
      <c r="U153" s="77"/>
      <c r="V153" s="11"/>
      <c r="W153" s="11"/>
      <c r="X153" s="11"/>
    </row>
    <row r="154" spans="1:24" x14ac:dyDescent="0.35">
      <c r="A154" s="185" t="s">
        <v>50</v>
      </c>
      <c r="B154" s="185"/>
      <c r="C154" s="185"/>
      <c r="D154" s="185"/>
      <c r="E154" s="186">
        <v>1</v>
      </c>
      <c r="F154" s="186"/>
      <c r="G154" s="187" t="s">
        <v>51</v>
      </c>
      <c r="H154" s="187"/>
      <c r="I154" s="188" t="s">
        <v>52</v>
      </c>
      <c r="J154" s="188"/>
      <c r="K154" s="188"/>
      <c r="L154" s="360">
        <f>N154*L153</f>
        <v>0</v>
      </c>
      <c r="M154" s="361"/>
      <c r="N154" s="14">
        <f>N153*E154</f>
        <v>0</v>
      </c>
      <c r="O154" s="368">
        <f>O153*E154</f>
        <v>0</v>
      </c>
      <c r="P154" s="368"/>
      <c r="Q154" s="369">
        <f>O154-N154</f>
        <v>0</v>
      </c>
      <c r="R154" s="370"/>
      <c r="S154" s="3"/>
      <c r="T154" s="9">
        <v>10</v>
      </c>
      <c r="U154" s="77"/>
      <c r="V154" s="11"/>
      <c r="W154" s="11"/>
      <c r="X154" s="11"/>
    </row>
    <row r="155" spans="1:24" s="25" customFormat="1" x14ac:dyDescent="0.35"/>
    <row r="156" spans="1:24" s="25" customFormat="1" x14ac:dyDescent="0.35"/>
    <row r="157" spans="1:24" s="25" customFormat="1" x14ac:dyDescent="0.35"/>
    <row r="158" spans="1:24" s="25" customFormat="1" x14ac:dyDescent="0.35"/>
    <row r="159" spans="1:24" s="25" customFormat="1" x14ac:dyDescent="0.35"/>
    <row r="160" spans="1:24" s="25" customFormat="1" x14ac:dyDescent="0.35"/>
    <row r="161" s="25" customFormat="1" x14ac:dyDescent="0.35"/>
    <row r="162" s="25" customFormat="1" x14ac:dyDescent="0.35"/>
    <row r="163" s="25" customFormat="1" x14ac:dyDescent="0.35"/>
    <row r="164" s="25" customFormat="1" x14ac:dyDescent="0.35"/>
    <row r="165" s="25" customFormat="1" x14ac:dyDescent="0.35"/>
    <row r="166" s="25" customFormat="1" x14ac:dyDescent="0.35"/>
    <row r="167" s="25" customFormat="1" x14ac:dyDescent="0.35"/>
    <row r="168" s="25" customFormat="1" x14ac:dyDescent="0.35"/>
    <row r="169" s="25" customFormat="1" x14ac:dyDescent="0.35"/>
    <row r="170" s="25" customFormat="1" x14ac:dyDescent="0.35"/>
    <row r="171" s="25" customFormat="1" x14ac:dyDescent="0.35"/>
    <row r="172" s="25" customFormat="1" x14ac:dyDescent="0.35"/>
    <row r="173" s="25" customFormat="1" x14ac:dyDescent="0.35"/>
    <row r="174" s="25" customFormat="1" x14ac:dyDescent="0.35"/>
    <row r="175" s="25" customFormat="1" x14ac:dyDescent="0.35"/>
    <row r="176" s="25" customFormat="1" x14ac:dyDescent="0.35"/>
    <row r="177" s="25" customFormat="1" x14ac:dyDescent="0.35"/>
    <row r="178" s="25" customFormat="1" x14ac:dyDescent="0.35"/>
    <row r="179" s="25" customFormat="1" x14ac:dyDescent="0.35"/>
    <row r="180" s="25" customFormat="1" x14ac:dyDescent="0.35"/>
    <row r="181" s="25" customFormat="1" x14ac:dyDescent="0.35"/>
    <row r="182" s="25" customFormat="1" x14ac:dyDescent="0.35"/>
    <row r="183" s="25" customFormat="1" x14ac:dyDescent="0.35"/>
    <row r="184" s="25" customFormat="1" x14ac:dyDescent="0.35"/>
    <row r="185" s="25" customFormat="1" x14ac:dyDescent="0.35"/>
    <row r="186" s="25" customFormat="1" x14ac:dyDescent="0.35"/>
    <row r="187" s="25" customFormat="1" x14ac:dyDescent="0.35"/>
    <row r="188" s="25" customFormat="1" x14ac:dyDescent="0.35"/>
    <row r="189" s="25" customFormat="1" x14ac:dyDescent="0.35"/>
    <row r="190" s="25" customFormat="1" x14ac:dyDescent="0.35"/>
    <row r="191" s="25" customFormat="1" x14ac:dyDescent="0.35"/>
    <row r="192" s="25" customFormat="1" x14ac:dyDescent="0.35"/>
    <row r="193" s="25" customFormat="1" x14ac:dyDescent="0.35"/>
    <row r="194" s="25" customFormat="1" x14ac:dyDescent="0.35"/>
    <row r="195" s="25" customFormat="1" x14ac:dyDescent="0.35"/>
    <row r="196" s="25" customFormat="1" x14ac:dyDescent="0.35"/>
    <row r="197" s="25" customFormat="1" x14ac:dyDescent="0.35"/>
    <row r="198" s="25" customFormat="1" x14ac:dyDescent="0.35"/>
    <row r="199" s="25" customFormat="1" x14ac:dyDescent="0.35"/>
    <row r="200" s="25" customFormat="1" x14ac:dyDescent="0.35"/>
  </sheetData>
  <sheetProtection autoFilter="0"/>
  <protectedRanges>
    <protectedRange sqref="B9:K11" name="Liberado"/>
    <protectedRange sqref="B13:K15" name="Range2"/>
    <protectedRange sqref="E17:F19" name="Range3"/>
    <protectedRange sqref="I17:K19" name="Range4"/>
    <protectedRange sqref="L15:M16" name="Range5"/>
    <protectedRange sqref="N9:N10" name="Range6"/>
    <protectedRange sqref="N12:N13" name="Range7"/>
    <protectedRange sqref="I17:K19" name="Range10"/>
    <protectedRange sqref="Q9:R10" name="Range9"/>
    <protectedRange sqref="Q12:R13" name="Range11"/>
    <protectedRange sqref="Q15:R16" name="Range12"/>
    <protectedRange sqref="B24:K26" name="Range13"/>
    <protectedRange sqref="B28:K30" name="Range14"/>
    <protectedRange sqref="E32:F34" name="Range15"/>
    <protectedRange sqref="I32:K34" name="Range16"/>
    <protectedRange sqref="E27:K27" name="Range17"/>
    <protectedRange sqref="E31:K31" name="Range18"/>
    <protectedRange sqref="L24:M24" name="Range19"/>
    <protectedRange sqref="L26:M26" name="Range20"/>
    <protectedRange sqref="N24:N25" name="Range21"/>
    <protectedRange sqref="N27:N28" name="Range22"/>
    <protectedRange sqref="Q24:R25" name="Range23"/>
    <protectedRange sqref="Q27:R28" name="Range24"/>
    <protectedRange sqref="B39:K41" name="Range25"/>
    <protectedRange sqref="B43:K45" name="Range26"/>
    <protectedRange sqref="E42:K42" name="Range27"/>
    <protectedRange sqref="N39:N40" name="Range28"/>
    <protectedRange sqref="E46:K46" name="Range29"/>
    <protectedRange sqref="N39" name="Range30"/>
    <protectedRange sqref="N42:N43" name="Range31"/>
    <protectedRange sqref="U10:X19" name="Range32"/>
    <protectedRange sqref="U25:X34" name="Range33"/>
    <protectedRange sqref="U40:X49" name="Range34"/>
    <protectedRange sqref="Q30:R31" name="Range35"/>
    <protectedRange sqref="Q45" name="Range36"/>
    <protectedRange sqref="Q60:R61" name="Range37"/>
    <protectedRange sqref="Q90:R91" name="Range38"/>
    <protectedRange sqref="Q105:R106" name="Range39"/>
    <protectedRange sqref="Q135:R136" name="Range40"/>
    <protectedRange sqref="Q150:R151" name="Range41"/>
    <protectedRange sqref="U10:X19" name="Range42"/>
    <protectedRange sqref="U145:X154" name="Range43"/>
    <protectedRange sqref="U130:X139" name="Range44"/>
    <protectedRange sqref="U115:X124" name="Range45"/>
    <protectedRange sqref="U100:X109" name="Range46"/>
    <protectedRange sqref="U85:X94" name="Range47"/>
    <protectedRange sqref="U70:X79" name="Range48"/>
    <protectedRange sqref="U55:X64" name="Range49"/>
    <protectedRange sqref="U40:X49" name="Range50"/>
    <protectedRange sqref="U25:X34" name="Range51"/>
    <protectedRange sqref="U10:X19" name="Range52"/>
    <protectedRange sqref="C2:X4" name="Range53"/>
  </protectedRanges>
  <mergeCells count="725">
    <mergeCell ref="A21:X21"/>
    <mergeCell ref="A36:X36"/>
    <mergeCell ref="A51:X51"/>
    <mergeCell ref="A66:X66"/>
    <mergeCell ref="A81:X81"/>
    <mergeCell ref="A96:X96"/>
    <mergeCell ref="A111:X111"/>
    <mergeCell ref="A154:D154"/>
    <mergeCell ref="E154:F154"/>
    <mergeCell ref="G154:H154"/>
    <mergeCell ref="I154:K154"/>
    <mergeCell ref="L154:M154"/>
    <mergeCell ref="O154:P154"/>
    <mergeCell ref="Q154:R154"/>
    <mergeCell ref="A152:D152"/>
    <mergeCell ref="E152:F152"/>
    <mergeCell ref="G152:H152"/>
    <mergeCell ref="I152:K152"/>
    <mergeCell ref="L152:M152"/>
    <mergeCell ref="O152:P152"/>
    <mergeCell ref="Q152:R152"/>
    <mergeCell ref="A153:D153"/>
    <mergeCell ref="E153:F153"/>
    <mergeCell ref="B147:C147"/>
    <mergeCell ref="G153:H153"/>
    <mergeCell ref="I153:K153"/>
    <mergeCell ref="L153:M153"/>
    <mergeCell ref="O153:P153"/>
    <mergeCell ref="Q153:R153"/>
    <mergeCell ref="O147:P148"/>
    <mergeCell ref="Q147:R148"/>
    <mergeCell ref="A148:A151"/>
    <mergeCell ref="B148:C148"/>
    <mergeCell ref="J148:K148"/>
    <mergeCell ref="L148:M148"/>
    <mergeCell ref="B149:C149"/>
    <mergeCell ref="J149:K149"/>
    <mergeCell ref="L149:M149"/>
    <mergeCell ref="O149:P149"/>
    <mergeCell ref="Q149:R149"/>
    <mergeCell ref="B150:C150"/>
    <mergeCell ref="J150:K150"/>
    <mergeCell ref="L150:M151"/>
    <mergeCell ref="N150:N151"/>
    <mergeCell ref="O150:P151"/>
    <mergeCell ref="Q150:R151"/>
    <mergeCell ref="B151:C151"/>
    <mergeCell ref="N147:N148"/>
    <mergeCell ref="O144:P145"/>
    <mergeCell ref="Q144:R145"/>
    <mergeCell ref="B145:C145"/>
    <mergeCell ref="J145:K145"/>
    <mergeCell ref="L145:M145"/>
    <mergeCell ref="B146:C146"/>
    <mergeCell ref="J146:K146"/>
    <mergeCell ref="L146:M146"/>
    <mergeCell ref="O146:P146"/>
    <mergeCell ref="Q146:R146"/>
    <mergeCell ref="O139:P139"/>
    <mergeCell ref="Q139:R139"/>
    <mergeCell ref="B142:D142"/>
    <mergeCell ref="E142:F142"/>
    <mergeCell ref="H142:K142"/>
    <mergeCell ref="L142:M142"/>
    <mergeCell ref="A141:X141"/>
    <mergeCell ref="T142:X143"/>
    <mergeCell ref="B143:C143"/>
    <mergeCell ref="J143:K143"/>
    <mergeCell ref="L143:M143"/>
    <mergeCell ref="O143:P143"/>
    <mergeCell ref="Q143:R143"/>
    <mergeCell ref="A144:A147"/>
    <mergeCell ref="B144:C144"/>
    <mergeCell ref="J144:K144"/>
    <mergeCell ref="L144:M144"/>
    <mergeCell ref="N144:N145"/>
    <mergeCell ref="L132:M132"/>
    <mergeCell ref="N132:N133"/>
    <mergeCell ref="A138:D138"/>
    <mergeCell ref="E138:F138"/>
    <mergeCell ref="G138:H138"/>
    <mergeCell ref="I138:K138"/>
    <mergeCell ref="L138:M138"/>
    <mergeCell ref="B134:C134"/>
    <mergeCell ref="J134:K134"/>
    <mergeCell ref="L134:M134"/>
    <mergeCell ref="A139:D139"/>
    <mergeCell ref="E139:F139"/>
    <mergeCell ref="G139:H139"/>
    <mergeCell ref="I139:K139"/>
    <mergeCell ref="L139:M139"/>
    <mergeCell ref="O138:P138"/>
    <mergeCell ref="Q138:R138"/>
    <mergeCell ref="A137:D137"/>
    <mergeCell ref="E137:F137"/>
    <mergeCell ref="G137:H137"/>
    <mergeCell ref="I137:K137"/>
    <mergeCell ref="L137:M137"/>
    <mergeCell ref="O137:P137"/>
    <mergeCell ref="Q137:R137"/>
    <mergeCell ref="O134:P134"/>
    <mergeCell ref="Q134:R134"/>
    <mergeCell ref="B135:C135"/>
    <mergeCell ref="J135:K135"/>
    <mergeCell ref="L135:M136"/>
    <mergeCell ref="N135:N136"/>
    <mergeCell ref="O135:P136"/>
    <mergeCell ref="Q135:R136"/>
    <mergeCell ref="B136:C136"/>
    <mergeCell ref="O132:P133"/>
    <mergeCell ref="Q132:R133"/>
    <mergeCell ref="A133:A136"/>
    <mergeCell ref="B133:C133"/>
    <mergeCell ref="J133:K133"/>
    <mergeCell ref="L133:M133"/>
    <mergeCell ref="A129:A132"/>
    <mergeCell ref="L129:M129"/>
    <mergeCell ref="N129:N130"/>
    <mergeCell ref="O129:P130"/>
    <mergeCell ref="Q129:R130"/>
    <mergeCell ref="B130:C130"/>
    <mergeCell ref="J130:K130"/>
    <mergeCell ref="L130:M130"/>
    <mergeCell ref="B131:C131"/>
    <mergeCell ref="J131:K131"/>
    <mergeCell ref="L131:M131"/>
    <mergeCell ref="O131:P131"/>
    <mergeCell ref="Q131:R131"/>
    <mergeCell ref="E132:K132"/>
    <mergeCell ref="E136:K136"/>
    <mergeCell ref="B129:C129"/>
    <mergeCell ref="J129:K129"/>
    <mergeCell ref="B132:C132"/>
    <mergeCell ref="A124:D124"/>
    <mergeCell ref="E124:F124"/>
    <mergeCell ref="G124:H124"/>
    <mergeCell ref="I124:K124"/>
    <mergeCell ref="L124:M124"/>
    <mergeCell ref="O124:P124"/>
    <mergeCell ref="Q124:R124"/>
    <mergeCell ref="B127:D127"/>
    <mergeCell ref="E127:F127"/>
    <mergeCell ref="H127:K127"/>
    <mergeCell ref="L127:M127"/>
    <mergeCell ref="A126:X126"/>
    <mergeCell ref="T127:X128"/>
    <mergeCell ref="B128:C128"/>
    <mergeCell ref="J128:K128"/>
    <mergeCell ref="L128:M128"/>
    <mergeCell ref="O128:P128"/>
    <mergeCell ref="Q128:R128"/>
    <mergeCell ref="A122:D122"/>
    <mergeCell ref="E122:F122"/>
    <mergeCell ref="G122:H122"/>
    <mergeCell ref="I122:K122"/>
    <mergeCell ref="L122:M122"/>
    <mergeCell ref="O122:P122"/>
    <mergeCell ref="Q122:R122"/>
    <mergeCell ref="A123:D123"/>
    <mergeCell ref="E123:F123"/>
    <mergeCell ref="G123:H123"/>
    <mergeCell ref="I123:K123"/>
    <mergeCell ref="L123:M123"/>
    <mergeCell ref="O123:P123"/>
    <mergeCell ref="Q123:R123"/>
    <mergeCell ref="O117:P118"/>
    <mergeCell ref="Q117:R118"/>
    <mergeCell ref="A118:A121"/>
    <mergeCell ref="B118:C118"/>
    <mergeCell ref="J118:K118"/>
    <mergeCell ref="L118:M118"/>
    <mergeCell ref="B119:C119"/>
    <mergeCell ref="J119:K119"/>
    <mergeCell ref="L119:M119"/>
    <mergeCell ref="O119:P119"/>
    <mergeCell ref="Q119:R119"/>
    <mergeCell ref="B120:C120"/>
    <mergeCell ref="J120:K120"/>
    <mergeCell ref="L120:M121"/>
    <mergeCell ref="N120:N121"/>
    <mergeCell ref="O120:P121"/>
    <mergeCell ref="Q120:R121"/>
    <mergeCell ref="B121:C121"/>
    <mergeCell ref="E117:K117"/>
    <mergeCell ref="E121:K121"/>
    <mergeCell ref="T112:X113"/>
    <mergeCell ref="B113:C113"/>
    <mergeCell ref="J113:K113"/>
    <mergeCell ref="L113:M113"/>
    <mergeCell ref="O113:P113"/>
    <mergeCell ref="Q113:R113"/>
    <mergeCell ref="A114:A117"/>
    <mergeCell ref="B114:C114"/>
    <mergeCell ref="J114:K114"/>
    <mergeCell ref="L114:M114"/>
    <mergeCell ref="N114:N115"/>
    <mergeCell ref="O114:P115"/>
    <mergeCell ref="Q114:R115"/>
    <mergeCell ref="B115:C115"/>
    <mergeCell ref="J115:K115"/>
    <mergeCell ref="L115:M115"/>
    <mergeCell ref="B116:C116"/>
    <mergeCell ref="J116:K116"/>
    <mergeCell ref="L116:M116"/>
    <mergeCell ref="O116:P116"/>
    <mergeCell ref="Q116:R116"/>
    <mergeCell ref="B117:C117"/>
    <mergeCell ref="L117:M117"/>
    <mergeCell ref="N117:N118"/>
    <mergeCell ref="A109:D109"/>
    <mergeCell ref="E109:F109"/>
    <mergeCell ref="G109:H109"/>
    <mergeCell ref="I109:K109"/>
    <mergeCell ref="L109:M109"/>
    <mergeCell ref="O109:P109"/>
    <mergeCell ref="Q109:R109"/>
    <mergeCell ref="B112:D112"/>
    <mergeCell ref="E112:F112"/>
    <mergeCell ref="H112:K112"/>
    <mergeCell ref="L112:M112"/>
    <mergeCell ref="A107:D107"/>
    <mergeCell ref="E107:F107"/>
    <mergeCell ref="G107:H107"/>
    <mergeCell ref="I107:K107"/>
    <mergeCell ref="L107:M107"/>
    <mergeCell ref="O107:P107"/>
    <mergeCell ref="Q107:R107"/>
    <mergeCell ref="A108:D108"/>
    <mergeCell ref="E108:F108"/>
    <mergeCell ref="G108:H108"/>
    <mergeCell ref="I108:K108"/>
    <mergeCell ref="L108:M108"/>
    <mergeCell ref="O108:P108"/>
    <mergeCell ref="Q108:R108"/>
    <mergeCell ref="O102:P103"/>
    <mergeCell ref="Q102:R103"/>
    <mergeCell ref="A103:A106"/>
    <mergeCell ref="B103:C103"/>
    <mergeCell ref="J103:K103"/>
    <mergeCell ref="L103:M103"/>
    <mergeCell ref="B104:C104"/>
    <mergeCell ref="J104:K104"/>
    <mergeCell ref="L104:M104"/>
    <mergeCell ref="O104:P104"/>
    <mergeCell ref="Q104:R104"/>
    <mergeCell ref="B105:C105"/>
    <mergeCell ref="J105:K105"/>
    <mergeCell ref="L105:M106"/>
    <mergeCell ref="N105:N106"/>
    <mergeCell ref="O105:P106"/>
    <mergeCell ref="Q105:R106"/>
    <mergeCell ref="B106:C106"/>
    <mergeCell ref="E102:K102"/>
    <mergeCell ref="E106:K106"/>
    <mergeCell ref="T97:X98"/>
    <mergeCell ref="B98:C98"/>
    <mergeCell ref="J98:K98"/>
    <mergeCell ref="L98:M98"/>
    <mergeCell ref="O98:P98"/>
    <mergeCell ref="Q98:R98"/>
    <mergeCell ref="A99:A102"/>
    <mergeCell ref="B99:C99"/>
    <mergeCell ref="J99:K99"/>
    <mergeCell ref="L99:M99"/>
    <mergeCell ref="N99:N100"/>
    <mergeCell ref="O99:P100"/>
    <mergeCell ref="Q99:R100"/>
    <mergeCell ref="B100:C100"/>
    <mergeCell ref="J100:K100"/>
    <mergeCell ref="L100:M100"/>
    <mergeCell ref="B101:C101"/>
    <mergeCell ref="J101:K101"/>
    <mergeCell ref="L101:M101"/>
    <mergeCell ref="O101:P101"/>
    <mergeCell ref="Q101:R101"/>
    <mergeCell ref="B102:C102"/>
    <mergeCell ref="L102:M102"/>
    <mergeCell ref="N102:N103"/>
    <mergeCell ref="A94:D94"/>
    <mergeCell ref="E94:F94"/>
    <mergeCell ref="G94:H94"/>
    <mergeCell ref="I94:K94"/>
    <mergeCell ref="L94:M94"/>
    <mergeCell ref="O94:P94"/>
    <mergeCell ref="Q94:R94"/>
    <mergeCell ref="B97:D97"/>
    <mergeCell ref="E97:F97"/>
    <mergeCell ref="H97:K97"/>
    <mergeCell ref="L97:M97"/>
    <mergeCell ref="A92:D92"/>
    <mergeCell ref="E92:F92"/>
    <mergeCell ref="G92:H92"/>
    <mergeCell ref="I92:K92"/>
    <mergeCell ref="L92:M92"/>
    <mergeCell ref="O92:P92"/>
    <mergeCell ref="Q92:R92"/>
    <mergeCell ref="A93:D93"/>
    <mergeCell ref="E93:F93"/>
    <mergeCell ref="G93:H93"/>
    <mergeCell ref="I93:K93"/>
    <mergeCell ref="L93:M93"/>
    <mergeCell ref="O93:P93"/>
    <mergeCell ref="Q93:R93"/>
    <mergeCell ref="O87:P88"/>
    <mergeCell ref="Q87:R88"/>
    <mergeCell ref="A88:A91"/>
    <mergeCell ref="B88:C88"/>
    <mergeCell ref="J88:K88"/>
    <mergeCell ref="L88:M88"/>
    <mergeCell ref="B89:C89"/>
    <mergeCell ref="J89:K89"/>
    <mergeCell ref="L89:M89"/>
    <mergeCell ref="O89:P89"/>
    <mergeCell ref="Q89:R89"/>
    <mergeCell ref="B90:C90"/>
    <mergeCell ref="J90:K90"/>
    <mergeCell ref="L90:M91"/>
    <mergeCell ref="N90:N91"/>
    <mergeCell ref="O90:P91"/>
    <mergeCell ref="Q90:R91"/>
    <mergeCell ref="B91:C91"/>
    <mergeCell ref="E91:K91"/>
    <mergeCell ref="T82:X83"/>
    <mergeCell ref="B83:C83"/>
    <mergeCell ref="J83:K83"/>
    <mergeCell ref="L83:M83"/>
    <mergeCell ref="O83:P83"/>
    <mergeCell ref="Q83:R83"/>
    <mergeCell ref="A84:A87"/>
    <mergeCell ref="B84:C84"/>
    <mergeCell ref="J84:K84"/>
    <mergeCell ref="L84:M84"/>
    <mergeCell ref="N84:N85"/>
    <mergeCell ref="O84:P85"/>
    <mergeCell ref="Q84:R85"/>
    <mergeCell ref="B85:C85"/>
    <mergeCell ref="J85:K85"/>
    <mergeCell ref="L85:M85"/>
    <mergeCell ref="B86:C86"/>
    <mergeCell ref="J86:K86"/>
    <mergeCell ref="L86:M86"/>
    <mergeCell ref="O86:P86"/>
    <mergeCell ref="Q86:R86"/>
    <mergeCell ref="B87:C87"/>
    <mergeCell ref="L87:M87"/>
    <mergeCell ref="N87:N88"/>
    <mergeCell ref="A79:D79"/>
    <mergeCell ref="E79:F79"/>
    <mergeCell ref="G79:H79"/>
    <mergeCell ref="I79:K79"/>
    <mergeCell ref="L79:M79"/>
    <mergeCell ref="O79:P79"/>
    <mergeCell ref="Q79:R79"/>
    <mergeCell ref="B82:D82"/>
    <mergeCell ref="E82:F82"/>
    <mergeCell ref="H82:K82"/>
    <mergeCell ref="L82:M82"/>
    <mergeCell ref="A77:D77"/>
    <mergeCell ref="E77:F77"/>
    <mergeCell ref="G77:H77"/>
    <mergeCell ref="I77:K77"/>
    <mergeCell ref="L77:M77"/>
    <mergeCell ref="O77:P77"/>
    <mergeCell ref="Q77:R77"/>
    <mergeCell ref="A78:D78"/>
    <mergeCell ref="E78:F78"/>
    <mergeCell ref="G78:H78"/>
    <mergeCell ref="I78:K78"/>
    <mergeCell ref="L78:M78"/>
    <mergeCell ref="O78:P78"/>
    <mergeCell ref="Q78:R78"/>
    <mergeCell ref="O72:P73"/>
    <mergeCell ref="Q72:R73"/>
    <mergeCell ref="A73:A76"/>
    <mergeCell ref="B73:C73"/>
    <mergeCell ref="J73:K73"/>
    <mergeCell ref="L73:M73"/>
    <mergeCell ref="B74:C74"/>
    <mergeCell ref="J74:K74"/>
    <mergeCell ref="L74:M74"/>
    <mergeCell ref="O74:P74"/>
    <mergeCell ref="Q74:R74"/>
    <mergeCell ref="B75:C75"/>
    <mergeCell ref="J75:K75"/>
    <mergeCell ref="L75:M76"/>
    <mergeCell ref="N75:N76"/>
    <mergeCell ref="O75:P76"/>
    <mergeCell ref="Q75:R76"/>
    <mergeCell ref="B76:C76"/>
    <mergeCell ref="T67:X68"/>
    <mergeCell ref="B68:C68"/>
    <mergeCell ref="J68:K68"/>
    <mergeCell ref="L68:M68"/>
    <mergeCell ref="O68:P68"/>
    <mergeCell ref="Q68:R68"/>
    <mergeCell ref="A69:A72"/>
    <mergeCell ref="B69:C69"/>
    <mergeCell ref="J69:K69"/>
    <mergeCell ref="L69:M69"/>
    <mergeCell ref="N69:N70"/>
    <mergeCell ref="O69:P70"/>
    <mergeCell ref="Q69:R70"/>
    <mergeCell ref="B70:C70"/>
    <mergeCell ref="J70:K70"/>
    <mergeCell ref="L70:M70"/>
    <mergeCell ref="B71:C71"/>
    <mergeCell ref="J71:K71"/>
    <mergeCell ref="L71:M71"/>
    <mergeCell ref="O71:P71"/>
    <mergeCell ref="Q71:R71"/>
    <mergeCell ref="B72:C72"/>
    <mergeCell ref="L72:M72"/>
    <mergeCell ref="N72:N73"/>
    <mergeCell ref="A64:D64"/>
    <mergeCell ref="E64:F64"/>
    <mergeCell ref="G64:H64"/>
    <mergeCell ref="I64:K64"/>
    <mergeCell ref="L64:M64"/>
    <mergeCell ref="O64:P64"/>
    <mergeCell ref="Q64:R64"/>
    <mergeCell ref="B67:D67"/>
    <mergeCell ref="E67:F67"/>
    <mergeCell ref="H67:K67"/>
    <mergeCell ref="L67:M67"/>
    <mergeCell ref="A62:D62"/>
    <mergeCell ref="E62:F62"/>
    <mergeCell ref="G62:H62"/>
    <mergeCell ref="I62:K62"/>
    <mergeCell ref="L62:M62"/>
    <mergeCell ref="O62:P62"/>
    <mergeCell ref="Q62:R62"/>
    <mergeCell ref="A63:D63"/>
    <mergeCell ref="E63:F63"/>
    <mergeCell ref="G63:H63"/>
    <mergeCell ref="I63:K63"/>
    <mergeCell ref="L63:M63"/>
    <mergeCell ref="O63:P63"/>
    <mergeCell ref="Q63:R63"/>
    <mergeCell ref="B57:C57"/>
    <mergeCell ref="L57:M57"/>
    <mergeCell ref="N57:N58"/>
    <mergeCell ref="O57:P58"/>
    <mergeCell ref="Q57:R58"/>
    <mergeCell ref="A58:A61"/>
    <mergeCell ref="B58:C58"/>
    <mergeCell ref="J58:K58"/>
    <mergeCell ref="L58:M58"/>
    <mergeCell ref="B59:C59"/>
    <mergeCell ref="J59:K59"/>
    <mergeCell ref="L59:M59"/>
    <mergeCell ref="O59:P59"/>
    <mergeCell ref="Q59:R59"/>
    <mergeCell ref="B60:C60"/>
    <mergeCell ref="J60:K60"/>
    <mergeCell ref="L60:M61"/>
    <mergeCell ref="N60:N61"/>
    <mergeCell ref="O60:P61"/>
    <mergeCell ref="Q60:R61"/>
    <mergeCell ref="B61:C61"/>
    <mergeCell ref="A54:A57"/>
    <mergeCell ref="L54:M54"/>
    <mergeCell ref="N54:N55"/>
    <mergeCell ref="O54:P55"/>
    <mergeCell ref="Q54:R55"/>
    <mergeCell ref="B55:C55"/>
    <mergeCell ref="J55:K55"/>
    <mergeCell ref="L55:M55"/>
    <mergeCell ref="B56:C56"/>
    <mergeCell ref="J56:K56"/>
    <mergeCell ref="L56:M56"/>
    <mergeCell ref="O56:P56"/>
    <mergeCell ref="Q56:R56"/>
    <mergeCell ref="B54:C54"/>
    <mergeCell ref="J54:K54"/>
    <mergeCell ref="L49:M49"/>
    <mergeCell ref="O49:P49"/>
    <mergeCell ref="Q49:R49"/>
    <mergeCell ref="B52:D52"/>
    <mergeCell ref="E52:F52"/>
    <mergeCell ref="H52:K52"/>
    <mergeCell ref="L52:M52"/>
    <mergeCell ref="T52:X53"/>
    <mergeCell ref="B53:C53"/>
    <mergeCell ref="J53:K53"/>
    <mergeCell ref="L53:M53"/>
    <mergeCell ref="O53:P53"/>
    <mergeCell ref="Q53:R53"/>
    <mergeCell ref="A49:D49"/>
    <mergeCell ref="E49:F49"/>
    <mergeCell ref="G49:H49"/>
    <mergeCell ref="I49:K49"/>
    <mergeCell ref="L47:M47"/>
    <mergeCell ref="O47:P47"/>
    <mergeCell ref="Q47:R47"/>
    <mergeCell ref="A48:D48"/>
    <mergeCell ref="E48:F48"/>
    <mergeCell ref="G48:H48"/>
    <mergeCell ref="I48:K48"/>
    <mergeCell ref="L48:M48"/>
    <mergeCell ref="O48:P48"/>
    <mergeCell ref="Q48:R48"/>
    <mergeCell ref="L42:M42"/>
    <mergeCell ref="N42:N43"/>
    <mergeCell ref="O42:P43"/>
    <mergeCell ref="Q42:R43"/>
    <mergeCell ref="A43:A46"/>
    <mergeCell ref="B43:C43"/>
    <mergeCell ref="J43:K43"/>
    <mergeCell ref="L43:M43"/>
    <mergeCell ref="B44:C44"/>
    <mergeCell ref="J44:K44"/>
    <mergeCell ref="L44:M44"/>
    <mergeCell ref="O44:P44"/>
    <mergeCell ref="Q44:R44"/>
    <mergeCell ref="B45:C45"/>
    <mergeCell ref="J45:K45"/>
    <mergeCell ref="L45:M46"/>
    <mergeCell ref="N45:N46"/>
    <mergeCell ref="O45:P46"/>
    <mergeCell ref="Q45:R46"/>
    <mergeCell ref="B46:C46"/>
    <mergeCell ref="L39:M39"/>
    <mergeCell ref="N39:N40"/>
    <mergeCell ref="O39:P40"/>
    <mergeCell ref="Q39:R40"/>
    <mergeCell ref="B40:C40"/>
    <mergeCell ref="J40:K40"/>
    <mergeCell ref="L40:M40"/>
    <mergeCell ref="B41:C41"/>
    <mergeCell ref="J41:K41"/>
    <mergeCell ref="L41:M41"/>
    <mergeCell ref="O41:P41"/>
    <mergeCell ref="Q41:R41"/>
    <mergeCell ref="L34:M34"/>
    <mergeCell ref="O34:P34"/>
    <mergeCell ref="Q34:R34"/>
    <mergeCell ref="T22:X23"/>
    <mergeCell ref="B37:D37"/>
    <mergeCell ref="E37:F37"/>
    <mergeCell ref="H37:K37"/>
    <mergeCell ref="L37:M37"/>
    <mergeCell ref="T37:X38"/>
    <mergeCell ref="B38:C38"/>
    <mergeCell ref="J38:K38"/>
    <mergeCell ref="L38:M38"/>
    <mergeCell ref="O38:P38"/>
    <mergeCell ref="Q38:R38"/>
    <mergeCell ref="A32:D32"/>
    <mergeCell ref="E32:F32"/>
    <mergeCell ref="G32:H32"/>
    <mergeCell ref="I32:K32"/>
    <mergeCell ref="L32:M32"/>
    <mergeCell ref="O32:P32"/>
    <mergeCell ref="Q32:R32"/>
    <mergeCell ref="A33:D33"/>
    <mergeCell ref="E33:F33"/>
    <mergeCell ref="G33:H33"/>
    <mergeCell ref="L33:M33"/>
    <mergeCell ref="O33:P33"/>
    <mergeCell ref="Q33:R33"/>
    <mergeCell ref="L28:M28"/>
    <mergeCell ref="B29:C29"/>
    <mergeCell ref="J29:K29"/>
    <mergeCell ref="L29:M29"/>
    <mergeCell ref="O29:P29"/>
    <mergeCell ref="Q29:R29"/>
    <mergeCell ref="B30:C30"/>
    <mergeCell ref="J30:K30"/>
    <mergeCell ref="L30:M31"/>
    <mergeCell ref="N30:N31"/>
    <mergeCell ref="O30:P31"/>
    <mergeCell ref="Q30:R31"/>
    <mergeCell ref="B31:C31"/>
    <mergeCell ref="A24:A27"/>
    <mergeCell ref="B24:C24"/>
    <mergeCell ref="J24:K24"/>
    <mergeCell ref="L24:M24"/>
    <mergeCell ref="N24:N25"/>
    <mergeCell ref="O24:P25"/>
    <mergeCell ref="Q24:R25"/>
    <mergeCell ref="B25:C25"/>
    <mergeCell ref="J25:K25"/>
    <mergeCell ref="L25:M25"/>
    <mergeCell ref="B26:C26"/>
    <mergeCell ref="J26:K26"/>
    <mergeCell ref="L26:M26"/>
    <mergeCell ref="O26:P26"/>
    <mergeCell ref="Q26:R26"/>
    <mergeCell ref="B27:C27"/>
    <mergeCell ref="L27:M27"/>
    <mergeCell ref="N27:N28"/>
    <mergeCell ref="O27:P28"/>
    <mergeCell ref="Q27:R28"/>
    <mergeCell ref="A28:A31"/>
    <mergeCell ref="B28:C28"/>
    <mergeCell ref="J28:K28"/>
    <mergeCell ref="B22:D22"/>
    <mergeCell ref="E22:F22"/>
    <mergeCell ref="H22:K22"/>
    <mergeCell ref="L22:M22"/>
    <mergeCell ref="B23:C23"/>
    <mergeCell ref="J23:K23"/>
    <mergeCell ref="L23:M23"/>
    <mergeCell ref="O23:P23"/>
    <mergeCell ref="Q23:R23"/>
    <mergeCell ref="O19:P19"/>
    <mergeCell ref="Q19:R19"/>
    <mergeCell ref="A19:D19"/>
    <mergeCell ref="E19:F19"/>
    <mergeCell ref="G19:H19"/>
    <mergeCell ref="I19:K19"/>
    <mergeCell ref="L19:M19"/>
    <mergeCell ref="O17:P17"/>
    <mergeCell ref="Q17:R17"/>
    <mergeCell ref="A18:D18"/>
    <mergeCell ref="E18:F18"/>
    <mergeCell ref="G18:H18"/>
    <mergeCell ref="I18:K18"/>
    <mergeCell ref="L18:M18"/>
    <mergeCell ref="O18:P18"/>
    <mergeCell ref="Q18:R18"/>
    <mergeCell ref="A17:D17"/>
    <mergeCell ref="E17:F17"/>
    <mergeCell ref="G17:H17"/>
    <mergeCell ref="I17:K17"/>
    <mergeCell ref="L17:M17"/>
    <mergeCell ref="A6:X6"/>
    <mergeCell ref="Q15:R16"/>
    <mergeCell ref="B16:C16"/>
    <mergeCell ref="O12:P13"/>
    <mergeCell ref="Q12:R13"/>
    <mergeCell ref="A13:A16"/>
    <mergeCell ref="B13:C13"/>
    <mergeCell ref="J13:K13"/>
    <mergeCell ref="L13:M13"/>
    <mergeCell ref="B14:C14"/>
    <mergeCell ref="J14:K14"/>
    <mergeCell ref="L14:M14"/>
    <mergeCell ref="O14:P14"/>
    <mergeCell ref="Q14:R14"/>
    <mergeCell ref="B15:C15"/>
    <mergeCell ref="J15:K15"/>
    <mergeCell ref="L15:M16"/>
    <mergeCell ref="N15:N16"/>
    <mergeCell ref="O15:P16"/>
    <mergeCell ref="E12:K12"/>
    <mergeCell ref="E16:K16"/>
    <mergeCell ref="L8:M8"/>
    <mergeCell ref="O8:P8"/>
    <mergeCell ref="Q8:R8"/>
    <mergeCell ref="A9:A12"/>
    <mergeCell ref="L9:M9"/>
    <mergeCell ref="N9:N10"/>
    <mergeCell ref="O9:P10"/>
    <mergeCell ref="Q9:R10"/>
    <mergeCell ref="L10:M10"/>
    <mergeCell ref="L11:M11"/>
    <mergeCell ref="O11:P11"/>
    <mergeCell ref="Q11:R11"/>
    <mergeCell ref="B12:C12"/>
    <mergeCell ref="L12:M12"/>
    <mergeCell ref="N12:N13"/>
    <mergeCell ref="B9:C9"/>
    <mergeCell ref="J9:K9"/>
    <mergeCell ref="B10:C10"/>
    <mergeCell ref="J10:K10"/>
    <mergeCell ref="B11:C11"/>
    <mergeCell ref="J11:K11"/>
    <mergeCell ref="R4:S4"/>
    <mergeCell ref="T4:U4"/>
    <mergeCell ref="W4:X4"/>
    <mergeCell ref="M3:O3"/>
    <mergeCell ref="P3:Q3"/>
    <mergeCell ref="R3:S3"/>
    <mergeCell ref="T3:U3"/>
    <mergeCell ref="C3:G3"/>
    <mergeCell ref="H2:L4"/>
    <mergeCell ref="B7:D7"/>
    <mergeCell ref="E7:F7"/>
    <mergeCell ref="H7:K7"/>
    <mergeCell ref="L7:M7"/>
    <mergeCell ref="C1:G1"/>
    <mergeCell ref="H1:L1"/>
    <mergeCell ref="B8:C8"/>
    <mergeCell ref="J8:K8"/>
    <mergeCell ref="T7:X8"/>
    <mergeCell ref="W1:X1"/>
    <mergeCell ref="C2:G2"/>
    <mergeCell ref="M2:O2"/>
    <mergeCell ref="P2:Q2"/>
    <mergeCell ref="R2:S2"/>
    <mergeCell ref="T2:U2"/>
    <mergeCell ref="W2:X2"/>
    <mergeCell ref="M1:O1"/>
    <mergeCell ref="P1:Q1"/>
    <mergeCell ref="R1:S1"/>
    <mergeCell ref="T1:U1"/>
    <mergeCell ref="W3:X3"/>
    <mergeCell ref="C4:G4"/>
    <mergeCell ref="M4:O4"/>
    <mergeCell ref="P4:Q4"/>
    <mergeCell ref="A34:D34"/>
    <mergeCell ref="E34:F34"/>
    <mergeCell ref="G34:H34"/>
    <mergeCell ref="I34:K34"/>
    <mergeCell ref="A39:A42"/>
    <mergeCell ref="B39:C39"/>
    <mergeCell ref="J39:K39"/>
    <mergeCell ref="B42:C42"/>
    <mergeCell ref="A47:D47"/>
    <mergeCell ref="E47:F47"/>
    <mergeCell ref="G47:H47"/>
    <mergeCell ref="I47:K47"/>
    <mergeCell ref="E151:K151"/>
    <mergeCell ref="E147:K147"/>
    <mergeCell ref="E27:K27"/>
    <mergeCell ref="E31:K31"/>
    <mergeCell ref="E42:K42"/>
    <mergeCell ref="E46:K46"/>
    <mergeCell ref="E57:K57"/>
    <mergeCell ref="E61:K61"/>
    <mergeCell ref="E72:K72"/>
    <mergeCell ref="E76:K76"/>
    <mergeCell ref="E87:K87"/>
    <mergeCell ref="I33:K33"/>
  </mergeCells>
  <conditionalFormatting sqref="B12:C12 B16:C16">
    <cfRule type="containsErrors" dxfId="76" priority="70">
      <formula>ISERROR(B12)</formula>
    </cfRule>
  </conditionalFormatting>
  <conditionalFormatting sqref="B27:C27 B31:C31">
    <cfRule type="containsErrors" dxfId="75" priority="63">
      <formula>ISERROR(B27)</formula>
    </cfRule>
  </conditionalFormatting>
  <conditionalFormatting sqref="B42:C42 B46:C46">
    <cfRule type="containsErrors" dxfId="74" priority="56">
      <formula>ISERROR(B42)</formula>
    </cfRule>
  </conditionalFormatting>
  <conditionalFormatting sqref="B57:C57 B61:C61">
    <cfRule type="containsErrors" dxfId="73" priority="49">
      <formula>ISERROR(B57)</formula>
    </cfRule>
  </conditionalFormatting>
  <conditionalFormatting sqref="B72:C72 B76:C76">
    <cfRule type="containsErrors" dxfId="72" priority="42">
      <formula>ISERROR(B72)</formula>
    </cfRule>
  </conditionalFormatting>
  <conditionalFormatting sqref="B87:C87 B91:C91">
    <cfRule type="containsErrors" dxfId="71" priority="35">
      <formula>ISERROR(B87)</formula>
    </cfRule>
  </conditionalFormatting>
  <conditionalFormatting sqref="B102:C102 B106:C106">
    <cfRule type="containsErrors" dxfId="70" priority="28">
      <formula>ISERROR(B102)</formula>
    </cfRule>
  </conditionalFormatting>
  <conditionalFormatting sqref="B117:C117 B121:C121">
    <cfRule type="containsErrors" dxfId="69" priority="21">
      <formula>ISERROR(B117)</formula>
    </cfRule>
  </conditionalFormatting>
  <conditionalFormatting sqref="B132:C132 B136:C136">
    <cfRule type="containsErrors" dxfId="68" priority="14">
      <formula>ISERROR(B132)</formula>
    </cfRule>
  </conditionalFormatting>
  <conditionalFormatting sqref="B147:C147 B151:C151">
    <cfRule type="containsErrors" dxfId="67" priority="7">
      <formula>ISERROR(B147)</formula>
    </cfRule>
  </conditionalFormatting>
  <conditionalFormatting sqref="I19">
    <cfRule type="cellIs" dxfId="66" priority="67" operator="equal">
      <formula>"EMITIDO"</formula>
    </cfRule>
    <cfRule type="cellIs" dxfId="65" priority="68" operator="equal">
      <formula>"CONFIRMADO"</formula>
    </cfRule>
    <cfRule type="cellIs" dxfId="64" priority="69" operator="equal">
      <formula>"AGUARDANDO"</formula>
    </cfRule>
  </conditionalFormatting>
  <conditionalFormatting sqref="I34">
    <cfRule type="cellIs" dxfId="63" priority="61" operator="equal">
      <formula>"CONFIRMADO"</formula>
    </cfRule>
    <cfRule type="cellIs" dxfId="62" priority="60" operator="equal">
      <formula>"EMITIDO"</formula>
    </cfRule>
    <cfRule type="cellIs" dxfId="61" priority="62" operator="equal">
      <formula>"AGUARDANDO"</formula>
    </cfRule>
  </conditionalFormatting>
  <conditionalFormatting sqref="I49">
    <cfRule type="cellIs" dxfId="60" priority="53" operator="equal">
      <formula>"EMITIDO"</formula>
    </cfRule>
    <cfRule type="cellIs" dxfId="59" priority="54" operator="equal">
      <formula>"CONFIRMADO"</formula>
    </cfRule>
    <cfRule type="cellIs" dxfId="58" priority="55" operator="equal">
      <formula>"AGUARDANDO"</formula>
    </cfRule>
  </conditionalFormatting>
  <conditionalFormatting sqref="I64">
    <cfRule type="cellIs" dxfId="57" priority="48" operator="equal">
      <formula>"AGUARDANDO"</formula>
    </cfRule>
    <cfRule type="cellIs" dxfId="56" priority="47" operator="equal">
      <formula>"CONFIRMADO"</formula>
    </cfRule>
    <cfRule type="cellIs" dxfId="55" priority="46" operator="equal">
      <formula>"EMITIDO"</formula>
    </cfRule>
  </conditionalFormatting>
  <conditionalFormatting sqref="I79">
    <cfRule type="cellIs" dxfId="54" priority="40" operator="equal">
      <formula>"CONFIRMADO"</formula>
    </cfRule>
    <cfRule type="cellIs" dxfId="53" priority="41" operator="equal">
      <formula>"AGUARDANDO"</formula>
    </cfRule>
    <cfRule type="cellIs" dxfId="52" priority="39" operator="equal">
      <formula>"EMITIDO"</formula>
    </cfRule>
  </conditionalFormatting>
  <conditionalFormatting sqref="I94">
    <cfRule type="cellIs" dxfId="51" priority="34" operator="equal">
      <formula>"AGUARDANDO"</formula>
    </cfRule>
    <cfRule type="cellIs" dxfId="50" priority="33" operator="equal">
      <formula>"CONFIRMADO"</formula>
    </cfRule>
    <cfRule type="cellIs" dxfId="49" priority="32" operator="equal">
      <formula>"EMITIDO"</formula>
    </cfRule>
  </conditionalFormatting>
  <conditionalFormatting sqref="I109">
    <cfRule type="cellIs" dxfId="48" priority="26" operator="equal">
      <formula>"CONFIRMADO"</formula>
    </cfRule>
    <cfRule type="cellIs" dxfId="47" priority="27" operator="equal">
      <formula>"AGUARDANDO"</formula>
    </cfRule>
    <cfRule type="cellIs" dxfId="46" priority="25" operator="equal">
      <formula>"EMITIDO"</formula>
    </cfRule>
  </conditionalFormatting>
  <conditionalFormatting sqref="I124">
    <cfRule type="cellIs" dxfId="45" priority="20" operator="equal">
      <formula>"AGUARDANDO"</formula>
    </cfRule>
    <cfRule type="cellIs" dxfId="44" priority="18" operator="equal">
      <formula>"EMITIDO"</formula>
    </cfRule>
    <cfRule type="cellIs" dxfId="43" priority="19" operator="equal">
      <formula>"CONFIRMADO"</formula>
    </cfRule>
  </conditionalFormatting>
  <conditionalFormatting sqref="I139">
    <cfRule type="cellIs" dxfId="42" priority="13" operator="equal">
      <formula>"AGUARDANDO"</formula>
    </cfRule>
    <cfRule type="cellIs" dxfId="41" priority="12" operator="equal">
      <formula>"CONFIRMADO"</formula>
    </cfRule>
    <cfRule type="cellIs" dxfId="40" priority="11" operator="equal">
      <formula>"EMITIDO"</formula>
    </cfRule>
  </conditionalFormatting>
  <conditionalFormatting sqref="I154">
    <cfRule type="cellIs" dxfId="39" priority="6" operator="equal">
      <formula>"AGUARDANDO"</formula>
    </cfRule>
    <cfRule type="cellIs" dxfId="38" priority="5" operator="equal">
      <formula>"CONFIRMADO"</formula>
    </cfRule>
    <cfRule type="cellIs" dxfId="37" priority="4" operator="equal">
      <formula>"EMITIDO"</formula>
    </cfRule>
  </conditionalFormatting>
  <conditionalFormatting sqref="I19:K19">
    <cfRule type="cellIs" dxfId="36" priority="64" operator="equal">
      <formula>"COTAÇÃO"</formula>
    </cfRule>
    <cfRule type="cellIs" dxfId="35" priority="65" operator="equal">
      <formula>"RESERVADO"</formula>
    </cfRule>
    <cfRule type="cellIs" dxfId="34" priority="66" operator="equal">
      <formula>"CANCELADO"</formula>
    </cfRule>
  </conditionalFormatting>
  <conditionalFormatting sqref="I34:K34">
    <cfRule type="cellIs" dxfId="33" priority="58" operator="equal">
      <formula>"RESERVADO"</formula>
    </cfRule>
    <cfRule type="cellIs" dxfId="32" priority="59" operator="equal">
      <formula>"CANCELADO"</formula>
    </cfRule>
    <cfRule type="cellIs" dxfId="31" priority="57" operator="equal">
      <formula>"COTAÇÃO"</formula>
    </cfRule>
  </conditionalFormatting>
  <conditionalFormatting sqref="I49:K49">
    <cfRule type="cellIs" dxfId="30" priority="51" operator="equal">
      <formula>"RESERVADO"</formula>
    </cfRule>
    <cfRule type="cellIs" dxfId="29" priority="52" operator="equal">
      <formula>"CANCELADO"</formula>
    </cfRule>
    <cfRule type="cellIs" dxfId="28" priority="50" operator="equal">
      <formula>"COTAÇÃO"</formula>
    </cfRule>
  </conditionalFormatting>
  <conditionalFormatting sqref="I64:K64">
    <cfRule type="cellIs" dxfId="27" priority="45" operator="equal">
      <formula>"CANCELADO"</formula>
    </cfRule>
    <cfRule type="cellIs" dxfId="26" priority="44" operator="equal">
      <formula>"RESERVADO"</formula>
    </cfRule>
    <cfRule type="cellIs" dxfId="25" priority="43" operator="equal">
      <formula>"COTAÇÃO"</formula>
    </cfRule>
  </conditionalFormatting>
  <conditionalFormatting sqref="I79:K79">
    <cfRule type="cellIs" dxfId="24" priority="37" operator="equal">
      <formula>"RESERVADO"</formula>
    </cfRule>
    <cfRule type="cellIs" dxfId="23" priority="36" operator="equal">
      <formula>"COTAÇÃO"</formula>
    </cfRule>
    <cfRule type="cellIs" dxfId="22" priority="38" operator="equal">
      <formula>"CANCELADO"</formula>
    </cfRule>
  </conditionalFormatting>
  <conditionalFormatting sqref="I94:K94">
    <cfRule type="cellIs" dxfId="21" priority="31" operator="equal">
      <formula>"CANCELADO"</formula>
    </cfRule>
    <cfRule type="cellIs" dxfId="20" priority="30" operator="equal">
      <formula>"RESERVADO"</formula>
    </cfRule>
    <cfRule type="cellIs" dxfId="19" priority="29" operator="equal">
      <formula>"COTAÇÃO"</formula>
    </cfRule>
  </conditionalFormatting>
  <conditionalFormatting sqref="I109:K109">
    <cfRule type="cellIs" dxfId="18" priority="24" operator="equal">
      <formula>"CANCELADO"</formula>
    </cfRule>
    <cfRule type="cellIs" dxfId="17" priority="23" operator="equal">
      <formula>"RESERVADO"</formula>
    </cfRule>
    <cfRule type="cellIs" dxfId="16" priority="22" operator="equal">
      <formula>"COTAÇÃO"</formula>
    </cfRule>
  </conditionalFormatting>
  <conditionalFormatting sqref="I124:K124">
    <cfRule type="cellIs" dxfId="15" priority="17" operator="equal">
      <formula>"CANCELADO"</formula>
    </cfRule>
    <cfRule type="cellIs" dxfId="14" priority="16" operator="equal">
      <formula>"RESERVADO"</formula>
    </cfRule>
    <cfRule type="cellIs" dxfId="13" priority="15" operator="equal">
      <formula>"COTAÇÃO"</formula>
    </cfRule>
  </conditionalFormatting>
  <conditionalFormatting sqref="I139:K139">
    <cfRule type="cellIs" dxfId="12" priority="9" operator="equal">
      <formula>"RESERVADO"</formula>
    </cfRule>
    <cfRule type="cellIs" dxfId="11" priority="10" operator="equal">
      <formula>"CANCELADO"</formula>
    </cfRule>
    <cfRule type="cellIs" dxfId="10" priority="8" operator="equal">
      <formula>"COTAÇÃO"</formula>
    </cfRule>
  </conditionalFormatting>
  <conditionalFormatting sqref="I154:K154">
    <cfRule type="cellIs" dxfId="9" priority="3" operator="equal">
      <formula>"CANCELADO"</formula>
    </cfRule>
    <cfRule type="cellIs" dxfId="8" priority="2" operator="equal">
      <formula>"RESERVADO"</formula>
    </cfRule>
    <cfRule type="cellIs" dxfId="7" priority="1" operator="equal">
      <formula>"COTAÇÃO"</formula>
    </cfRule>
  </conditionalFormatting>
  <dataValidations count="1">
    <dataValidation type="date" allowBlank="1" showInputMessage="1" showErrorMessage="1" sqref="T2:X5" xr:uid="{F06A2BE1-7473-4819-AFEA-ED4AB45FFD6A}">
      <formula1>44664</formula1>
      <formula2>44926</formula2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FFD7B9-D9DB-4838-AD60-092B85E4FDDA}">
          <x14:formula1>
            <xm:f>DADOS!$F$2:$F$11</xm:f>
          </x14:formula1>
          <xm:sqref>E17:F17 E32:F32 E47:F47 E62:F62 E77:F77 E92:F92 E107:F107 E122:F122 E137:F137 E152:F152</xm:sqref>
        </x14:dataValidation>
        <x14:dataValidation type="list" allowBlank="1" showInputMessage="1" showErrorMessage="1" xr:uid="{ED133F1F-7735-4A1F-88AD-ABEBD45CE25D}">
          <x14:formula1>
            <xm:f>DADOS!$G$2:$G$5</xm:f>
          </x14:formula1>
          <xm:sqref>I18:K18 I33:K33 I48:K48 I63:K63 I78:K78 I93:K93 I108:K108 I123:K123 I138:K138 I153:K153</xm:sqref>
        </x14:dataValidation>
        <x14:dataValidation type="list" allowBlank="1" showInputMessage="1" showErrorMessage="1" xr:uid="{676B1E04-E24D-45AE-8FF5-D2C66295824A}">
          <x14:formula1>
            <xm:f>DADOS!$B$3:$B$8</xm:f>
          </x14:formula1>
          <xm:sqref>L9:M9 L24:M24 L39:M39 L54:M54 L69:M69 L84:M84 L99:M99 L114:M114 L129:M129 L144:M144</xm:sqref>
        </x14:dataValidation>
        <x14:dataValidation type="list" allowBlank="1" showInputMessage="1" showErrorMessage="1" xr:uid="{6B8DD1F5-F122-48C0-A8C4-1916D073965B}">
          <x14:formula1>
            <xm:f>DADOS!$H$2:$H$6</xm:f>
          </x14:formula1>
          <xm:sqref>I19 I34 I49 I64 I79 I94 I109 I124 I139 I154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9A37-8F22-4B1C-BF47-D51B0B7B514D}">
  <sheetPr>
    <pageSetUpPr fitToPage="1"/>
  </sheetPr>
  <dimension ref="A1:L40"/>
  <sheetViews>
    <sheetView workbookViewId="0">
      <selection activeCell="N34" sqref="N33:N34"/>
    </sheetView>
  </sheetViews>
  <sheetFormatPr defaultColWidth="9.1796875" defaultRowHeight="14.5" x14ac:dyDescent="0.35"/>
  <cols>
    <col min="1" max="1" width="4.54296875" style="25" customWidth="1"/>
    <col min="2" max="4" width="9.1796875" style="25"/>
    <col min="5" max="5" width="11.453125" style="25" bestFit="1" customWidth="1"/>
    <col min="6" max="7" width="9.1796875" style="25"/>
    <col min="8" max="8" width="11.26953125" style="25" customWidth="1"/>
    <col min="9" max="9" width="16.54296875" style="25" customWidth="1"/>
    <col min="10" max="10" width="20.26953125" style="25" customWidth="1"/>
    <col min="11" max="16384" width="9.1796875" style="25"/>
  </cols>
  <sheetData>
    <row r="1" spans="1:12" ht="18.75" customHeight="1" x14ac:dyDescent="0.35">
      <c r="A1" s="389" t="s">
        <v>63</v>
      </c>
      <c r="B1" s="389"/>
      <c r="C1" s="389"/>
      <c r="D1" s="389"/>
      <c r="E1" s="389"/>
      <c r="F1" s="389"/>
      <c r="G1" s="389"/>
      <c r="H1" s="389"/>
      <c r="I1" s="389"/>
    </row>
    <row r="2" spans="1:12" ht="15" customHeight="1" x14ac:dyDescent="0.35">
      <c r="A2" s="388" t="str">
        <f>IF(K7=0,"",K7)</f>
        <v>OPÇÃO 1</v>
      </c>
      <c r="B2" s="388"/>
      <c r="C2" s="388"/>
      <c r="D2" s="388"/>
      <c r="E2" s="388"/>
      <c r="F2" s="388"/>
      <c r="G2" s="388"/>
      <c r="H2" s="388"/>
      <c r="I2" s="388"/>
    </row>
    <row r="3" spans="1:12" ht="17.25" customHeight="1" x14ac:dyDescent="0.35">
      <c r="A3" s="388"/>
      <c r="B3" s="388"/>
      <c r="C3" s="388"/>
      <c r="D3" s="388"/>
      <c r="E3" s="388"/>
      <c r="F3" s="388"/>
      <c r="G3" s="388"/>
      <c r="H3" s="388"/>
      <c r="I3" s="388"/>
    </row>
    <row r="4" spans="1:12" ht="18.75" customHeight="1" x14ac:dyDescent="0.35">
      <c r="A4" s="387"/>
      <c r="B4" s="387"/>
      <c r="C4" s="387"/>
      <c r="D4" s="387"/>
      <c r="E4" s="387"/>
      <c r="F4" s="387"/>
      <c r="G4" s="387"/>
      <c r="H4" s="387"/>
      <c r="I4" s="387"/>
    </row>
    <row r="5" spans="1:12" x14ac:dyDescent="0.35">
      <c r="A5" s="392"/>
      <c r="B5" s="392"/>
      <c r="C5" s="392"/>
      <c r="D5" s="392"/>
      <c r="E5" s="392"/>
      <c r="F5" s="392"/>
      <c r="G5" s="392"/>
      <c r="H5" s="392"/>
      <c r="I5" s="392"/>
      <c r="J5" s="125"/>
    </row>
    <row r="6" spans="1:12" ht="15" customHeight="1" x14ac:dyDescent="0.35">
      <c r="A6" s="429" t="s">
        <v>24</v>
      </c>
      <c r="B6" s="393" t="s">
        <v>12</v>
      </c>
      <c r="C6" s="393"/>
      <c r="D6" s="99" t="s">
        <v>13</v>
      </c>
      <c r="E6" s="101" t="s">
        <v>15</v>
      </c>
      <c r="F6" s="101" t="s">
        <v>16</v>
      </c>
      <c r="G6" s="99" t="s">
        <v>17</v>
      </c>
      <c r="H6" s="101" t="s">
        <v>18</v>
      </c>
      <c r="I6" s="99" t="s">
        <v>19</v>
      </c>
      <c r="K6" s="390" t="s">
        <v>64</v>
      </c>
      <c r="L6" s="390"/>
    </row>
    <row r="7" spans="1:12" ht="15.5" x14ac:dyDescent="0.35">
      <c r="A7" s="429"/>
      <c r="B7" s="432">
        <f>IF($K$7=DADOS!$J$3,'AÉREO REGULAR'!B9,IF($K$7=DADOS!$J$4,'AÉREO REGULAR'!B24,IF($K$7=DADOS!$J$5,'AÉREO REGULAR'!B39,IF($K$7=DADOS!$J$6,'AÉREO REGULAR'!B54,IF($K$7=DADOS!$J$7,'AÉREO REGULAR'!B69,IF($K$7=DADOS!$J$8,'AÉREO REGULAR'!B84,IF($K$7=DADOS!$J$9,'AÉREO REGULAR'!B99,IF($K$7=DADOS!$J$10,'AÉREO REGULAR'!B114,IF($K$7=DADOS!$J$11,'AÉREO REGULAR'!B129,IF($K$7=DADOS!$J$12,'AÉREO REGULAR'!B144,IF($K$7=DADOS!$J$2," ")))))))))))</f>
        <v>0</v>
      </c>
      <c r="C7" s="433"/>
      <c r="D7" s="100">
        <f>IF($K$7=DADOS!$J$3,'AÉREO REGULAR'!D9,IF($K$7=DADOS!$J$4,'AÉREO REGULAR'!D24,IF($K$7=DADOS!$J$5,'AÉREO REGULAR'!D39,IF($K$7=DADOS!$J$6,'AÉREO REGULAR'!B54,IF($K$7=DADOS!$J$7,'AÉREO REGULAR'!B69,IF($K$7=DADOS!$J$8,'AÉREO REGULAR'!D84,IF($K$7=DADOS!$J$9,'AÉREO REGULAR'!D99,IF($K$7=DADOS!$J$10,'AÉREO REGULAR'!D114,IF($K$7=DADOS!$J$11,'AÉREO REGULAR'!D129,IF($K$7=DADOS!$J$12,'AÉREO REGULAR'!D144,IF($K$7=DADOS!$J$2," ")))))))))))</f>
        <v>0</v>
      </c>
      <c r="E7" s="103">
        <f>IF($K$7=DADOS!$J$3,'AÉREO REGULAR'!F9,IF($K$7=DADOS!$J$4,'AÉREO REGULAR'!F24,IF($K$7=DADOS!$J$5,'AÉREO REGULAR'!F39,IF($K$7=DADOS!$J$6,'AÉREO REGULAR'!F54,IF($K$7=DADOS!$J$7,'AÉREO REGULAR'!F69,IF($K$7=DADOS!$J$8,'AÉREO REGULAR'!F84,IF($K$7=DADOS!$J$9,'AÉREO REGULAR'!F99,IF($K$7=DADOS!$J$10,'AÉREO REGULAR'!F114,IF($K$7=DADOS!$J$11,'AÉREO REGULAR'!F129,IF($K$7=DADOS!$J$12,'AÉREO REGULAR'!F144,IF($K$7=DADOS!$J$2," ")))))))))))</f>
        <v>0</v>
      </c>
      <c r="F7" s="102">
        <f>IF($K$7=DADOS!$J$3,'AÉREO REGULAR'!G9,IF($K$7=DADOS!$J$4,'AÉREO REGULAR'!G24,IF($K$7=DADOS!$J$5,'AÉREO REGULAR'!G39,IF($K$7=DADOS!$J$6,'AÉREO REGULAR'!G54,IF($K$7=DADOS!$J$7,'AÉREO REGULAR'!G69,IF($K$7=DADOS!$J$8,'AÉREO REGULAR'!G84,IF($K$7=DADOS!$J$9,'AÉREO REGULAR'!G99,IF($K$7=DADOS!$J$10,'AÉREO REGULAR'!G114,IF($K$7=DADOS!$J$11,'AÉREO REGULAR'!G129,IF($K$7=DADOS!$J$12,'AÉREO REGULAR'!G144,IF($K$7=DADOS!$J$2," ")))))))))))</f>
        <v>0</v>
      </c>
      <c r="G7" s="104">
        <f>IF($K$7=DADOS!$J$3,'AÉREO REGULAR'!H9,IF($K$7=DADOS!$J$4,'AÉREO REGULAR'!H24,IF($K$7=DADOS!$J$5,'AÉREO REGULAR'!H39,IF($K$7=DADOS!$J$6,'AÉREO REGULAR'!H54,IF($K$7=DADOS!$J$7,'AÉREO REGULAR'!H69,IF($K$7=DADOS!$J$8,'AÉREO REGULAR'!H84,IF($K$7=DADOS!$J$9,'AÉREO REGULAR'!H99,IF($K$7=DADOS!$J$10,'AÉREO REGULAR'!H114,IF($K$7=DADOS!$J$11,'AÉREO REGULAR'!H129,IF($K$7=DADOS!$J$12,'AÉREO REGULAR'!H144,IF($K$7=DADOS!$J$2," ")))))))))))</f>
        <v>0</v>
      </c>
      <c r="H7" s="105">
        <f>IF($K$7=DADOS!$J$3,'AÉREO REGULAR'!I9,IF($K$7=DADOS!$J$4,'AÉREO REGULAR'!I24,IF($K$7=DADOS!$J$5,'AÉREO REGULAR'!I39,IF($K$7=DADOS!$J$6,'AÉREO REGULAR'!I54,IF($K$7=DADOS!$J$7,'AÉREO REGULAR'!I69,IF($K$7=DADOS!$J$8,'AÉREO REGULAR'!I84,IF($K$7=DADOS!$J$9,'AÉREO REGULAR'!J99,IF($K$7=DADOS!$J$10,'AÉREO REGULAR'!J114,IF($K$7=DADOS!$J$11,'AÉREO REGULAR'!J129,IF($K$7=DADOS!$J$12,'AÉREO REGULAR'!J144,IF($K$7=DADOS!$J$2," ")))))))))))</f>
        <v>0</v>
      </c>
      <c r="I7" s="114">
        <f>IF($K$7=DADOS!$J$3,'AÉREO REGULAR'!J9,IF($K$7=DADOS!$J$4,'AÉREO REGULAR'!J24,IF($K$7=DADOS!$J$5,'AÉREO REGULAR'!J39,IF($K$7=DADOS!$J$6,'AÉREO REGULAR'!J54,IF($K$7=DADOS!$J$7,'AÉREO REGULAR'!J69,IF($K$7=DADOS!$J$8,'AÉREO REGULAR'!J84,IF($K$7=DADOS!$J$9,'AÉREO REGULAR'!J99,IF($K$7=DADOS!$J$10,'AÉREO REGULAR'!J114,IF($K$7=DADOS!$J$11,'AÉREO REGULAR'!J129,IF($K$7=DADOS!$J$12,'AÉREO REGULAR'!J144,IF($K$7=DADOS!$J$2," ")))))))))))</f>
        <v>0</v>
      </c>
      <c r="K7" s="391" t="s">
        <v>7</v>
      </c>
      <c r="L7" s="391"/>
    </row>
    <row r="8" spans="1:12" x14ac:dyDescent="0.35">
      <c r="A8" s="429"/>
      <c r="B8" s="432">
        <f>IF($K$7=DADOS!$J$3,'AÉREO REGULAR'!B10,IF($K$7=DADOS!$J$4,'AÉREO REGULAR'!B25,IF($K$7=DADOS!$J$5,'AÉREO REGULAR'!B40,IF($K$7=DADOS!$J$6,'AÉREO REGULAR'!B55,IF($K$7=DADOS!$J$7,'AÉREO REGULAR'!B70,IF($K$7=DADOS!$J$8,'AÉREO REGULAR'!B85,IF($K$7=DADOS!$J$9,'AÉREO REGULAR'!B100,IF($K$7=DADOS!$J$10,'AÉREO REGULAR'!B115,IF($K$7=DADOS!$J$11,'AÉREO REGULAR'!B130,IF($K$7=DADOS!$J$12,'AÉREO REGULAR'!B145,IF($K$7=DADOS!$J$2," ")))))))))))</f>
        <v>0</v>
      </c>
      <c r="C8" s="433"/>
      <c r="D8" s="100">
        <f>IF($K$7=DADOS!$J$3,'AÉREO REGULAR'!D10,IF($K$7=DADOS!$J$4,'AÉREO REGULAR'!D25,IF($K$7=DADOS!$J$5,'AÉREO REGULAR'!D40,IF($K$7=DADOS!$J$6,'AÉREO REGULAR'!B55,IF($K$7=DADOS!$J$7,'AÉREO REGULAR'!B70,IF($K$7=DADOS!$J$8,'AÉREO REGULAR'!D85,IF($K$7=DADOS!$J$9,'AÉREO REGULAR'!D100,IF($K$7=DADOS!$J$10,'AÉREO REGULAR'!D115,IF($K$7=DADOS!$J$11,'AÉREO REGULAR'!D130,IF($K$7=DADOS!$J$12,'AÉREO REGULAR'!D145,IF($K$7=DADOS!$J$2," ")))))))))))</f>
        <v>0</v>
      </c>
      <c r="E8" s="103">
        <f>IF($K$7=DADOS!$J$3,'AÉREO REGULAR'!F10,IF($K$7=DADOS!$J$4,'AÉREO REGULAR'!F25,IF($K$7=DADOS!$J$5,'AÉREO REGULAR'!F40,IF($K$7=DADOS!$J$6,'AÉREO REGULAR'!F55,IF($K$7=DADOS!$J$7,'AÉREO REGULAR'!F70,IF($K$7=DADOS!$J$8,'AÉREO REGULAR'!F85,IF($K$7=DADOS!$J$9,'AÉREO REGULAR'!F100,IF($K$7=DADOS!$J$10,'AÉREO REGULAR'!F115,IF($K$7=DADOS!$J$11,'AÉREO REGULAR'!F130,IF($K$7=DADOS!$J$12,'AÉREO REGULAR'!F145,IF($K$7=DADOS!$J$2," ")))))))))))</f>
        <v>0</v>
      </c>
      <c r="F8" s="102">
        <f>IF($K$7=DADOS!$J$3,'AÉREO REGULAR'!G10,IF($K$7=DADOS!$J$4,'AÉREO REGULAR'!G25,IF($K$7=DADOS!$J$5,'AÉREO REGULAR'!G40,IF($K$7=DADOS!$J$6,'AÉREO REGULAR'!G55,IF($K$7=DADOS!$J$7,'AÉREO REGULAR'!G70,IF($K$7=DADOS!$J$8,'AÉREO REGULAR'!G85,IF($K$7=DADOS!$J$9,'AÉREO REGULAR'!G100,IF($K$7=DADOS!$J$10,'AÉREO REGULAR'!G115,IF($K$7=DADOS!$J$11,'AÉREO REGULAR'!G130,IF($K$7=DADOS!$J$12,'AÉREO REGULAR'!G145,IF($K$7=DADOS!$J$2," ")))))))))))</f>
        <v>0</v>
      </c>
      <c r="G8" s="104">
        <f>IF($K$7=DADOS!$J$3,'AÉREO REGULAR'!H10,IF($K$7=DADOS!$J$4,'AÉREO REGULAR'!H25,IF($K$7=DADOS!$J$5,'AÉREO REGULAR'!H40,IF($K$7=DADOS!$J$6,'AÉREO REGULAR'!H55,IF($K$7=DADOS!$J$7,'AÉREO REGULAR'!H70,IF($K$7=DADOS!$J$8,'AÉREO REGULAR'!H85,IF($K$7=DADOS!$J$9,'AÉREO REGULAR'!H100,IF($K$7=DADOS!$J$10,'AÉREO REGULAR'!H115,IF($K$7=DADOS!$J$11,'AÉREO REGULAR'!H130,IF($K$7=DADOS!$J$12,'AÉREO REGULAR'!H145,IF($K$7=DADOS!$J$2," ")))))))))))</f>
        <v>0</v>
      </c>
      <c r="H8" s="105">
        <f>IF($K$7=DADOS!$J$3,'AÉREO REGULAR'!I10,IF($K$7=DADOS!$J$4,'AÉREO REGULAR'!I25,IF($K$7=DADOS!$J$5,'AÉREO REGULAR'!I40,IF($K$7=DADOS!$J$6,'AÉREO REGULAR'!I55,IF($K$7=DADOS!$J$7,'AÉREO REGULAR'!I70,IF($K$7=DADOS!$J$8,'AÉREO REGULAR'!I85,IF($K$7=DADOS!$J$9,'AÉREO REGULAR'!J100,IF($K$7=DADOS!$J$10,'AÉREO REGULAR'!J115,IF($K$7=DADOS!$J$11,'AÉREO REGULAR'!J130,IF($K$7=DADOS!$J$12,'AÉREO REGULAR'!J145,IF($K$7=DADOS!$J$2," ")))))))))))</f>
        <v>0</v>
      </c>
      <c r="I8" s="114">
        <f>IF($K$7=DADOS!$J$3,'AÉREO REGULAR'!J10,IF($K$7=DADOS!$J$4,'AÉREO REGULAR'!J25,IF($K$7=DADOS!$J$5,'AÉREO REGULAR'!J40,IF($K$7=DADOS!$J$6,'AÉREO REGULAR'!J55,IF($K$7=DADOS!$J$7,'AÉREO REGULAR'!J70,IF($K$7=DADOS!$J$8,'AÉREO REGULAR'!J85,IF($K$7=DADOS!$J$9,'AÉREO REGULAR'!J100,IF($K$7=DADOS!$J$10,'AÉREO REGULAR'!J115,IF($K$7=DADOS!$J$11,'AÉREO REGULAR'!J130,IF($K$7=DADOS!$J$12,'AÉREO REGULAR'!J145,IF($K$7=DADOS!$J$2," ")))))))))))</f>
        <v>0</v>
      </c>
    </row>
    <row r="9" spans="1:12" x14ac:dyDescent="0.35">
      <c r="A9" s="429"/>
      <c r="B9" s="432">
        <f>IF($K$7=DADOS!$J$3,'AÉREO REGULAR'!B11,IF($K$7=DADOS!$J$4,'AÉREO REGULAR'!B26,IF($K$7=DADOS!$J$5,'AÉREO REGULAR'!B41,IF($K$7=DADOS!$J$6,'AÉREO REGULAR'!B56,IF($K$7=DADOS!$J$7,'AÉREO REGULAR'!B71,IF($K$7=DADOS!$J$8,'AÉREO REGULAR'!B86,IF($K$7=DADOS!$J$9,'AÉREO REGULAR'!B101,IF($K$7=DADOS!$J$10,'AÉREO REGULAR'!B116,IF($K$7=DADOS!$J$11,'AÉREO REGULAR'!B131,IF($K$7=DADOS!$J$12,'AÉREO REGULAR'!B146,IF($K$7=DADOS!$J$2," ")))))))))))</f>
        <v>0</v>
      </c>
      <c r="C9" s="433"/>
      <c r="D9" s="100">
        <f>IF($K$7=DADOS!$J$3,'AÉREO REGULAR'!D11,IF($K$7=DADOS!$J$4,'AÉREO REGULAR'!D26,IF($K$7=DADOS!$J$5,'AÉREO REGULAR'!D41,IF($K$7=DADOS!$J$6,'AÉREO REGULAR'!B56,IF($K$7=DADOS!$J$7,'AÉREO REGULAR'!B71,IF($K$7=DADOS!$J$8,'AÉREO REGULAR'!D86,IF($K$7=DADOS!$J$9,'AÉREO REGULAR'!D101,IF($K$7=DADOS!$J$10,'AÉREO REGULAR'!D116,IF($K$7=DADOS!$J$11,'AÉREO REGULAR'!D131,IF($K$7=DADOS!$J$12,'AÉREO REGULAR'!D146,IF($K$7=DADOS!$J$2," ")))))))))))</f>
        <v>0</v>
      </c>
      <c r="E9" s="103">
        <f>IF($K$7=DADOS!$J$3,'AÉREO REGULAR'!F11,IF($K$7=DADOS!$J$4,'AÉREO REGULAR'!F26,IF($K$7=DADOS!$J$5,'AÉREO REGULAR'!F41,IF($K$7=DADOS!$J$6,'AÉREO REGULAR'!F56,IF($K$7=DADOS!$J$7,'AÉREO REGULAR'!F71,IF($K$7=DADOS!$J$8,'AÉREO REGULAR'!F86,IF($K$7=DADOS!$J$9,'AÉREO REGULAR'!F101,IF($K$7=DADOS!$J$10,'AÉREO REGULAR'!F116,IF($K$7=DADOS!$J$11,'AÉREO REGULAR'!F131,IF($K$7=DADOS!$J$12,'AÉREO REGULAR'!F146,IF($K$7=DADOS!$J$2," ")))))))))))</f>
        <v>0</v>
      </c>
      <c r="F9" s="102">
        <f>IF($K$7=DADOS!$J$3,'AÉREO REGULAR'!G11,IF($K$7=DADOS!$J$4,'AÉREO REGULAR'!G26,IF($K$7=DADOS!$J$5,'AÉREO REGULAR'!G41,IF($K$7=DADOS!$J$6,'AÉREO REGULAR'!G56,IF($K$7=DADOS!$J$7,'AÉREO REGULAR'!G71,IF($K$7=DADOS!$J$8,'AÉREO REGULAR'!G86,IF($K$7=DADOS!$J$9,'AÉREO REGULAR'!G101,IF($K$7=DADOS!$J$10,'AÉREO REGULAR'!G116,IF($K$7=DADOS!$J$11,'AÉREO REGULAR'!G131,IF($K$7=DADOS!$J$12,'AÉREO REGULAR'!G146,IF($K$7=DADOS!$J$2," ")))))))))))</f>
        <v>0</v>
      </c>
      <c r="G9" s="104">
        <f>IF($K$7=DADOS!$J$3,'AÉREO REGULAR'!H11,IF($K$7=DADOS!$J$4,'AÉREO REGULAR'!H26,IF($K$7=DADOS!$J$5,'AÉREO REGULAR'!H41,IF($K$7=DADOS!$J$6,'AÉREO REGULAR'!H56,IF($K$7=DADOS!$J$7,'AÉREO REGULAR'!H71,IF($K$7=DADOS!$J$8,'AÉREO REGULAR'!H86,IF($K$7=DADOS!$J$9,'AÉREO REGULAR'!H101,IF($K$7=DADOS!$J$10,'AÉREO REGULAR'!H116,IF($K$7=DADOS!$J$11,'AÉREO REGULAR'!H131,IF($K$7=DADOS!$J$12,'AÉREO REGULAR'!H146,IF($K$7=DADOS!$J$2," ")))))))))))</f>
        <v>0</v>
      </c>
      <c r="H9" s="105">
        <f>IF($K$7=DADOS!$J$3,'AÉREO REGULAR'!I11,IF($K$7=DADOS!$J$4,'AÉREO REGULAR'!I26,IF($K$7=DADOS!$J$5,'AÉREO REGULAR'!I41,IF($K$7=DADOS!$J$6,'AÉREO REGULAR'!I56,IF($K$7=DADOS!$J$7,'AÉREO REGULAR'!I71,IF($K$7=DADOS!$J$8,'AÉREO REGULAR'!I86,IF($K$7=DADOS!$J$9,'AÉREO REGULAR'!J101,IF($K$7=DADOS!$J$10,'AÉREO REGULAR'!J116,IF($K$7=DADOS!$J$11,'AÉREO REGULAR'!J131,IF($K$7=DADOS!$J$12,'AÉREO REGULAR'!J146,IF($K$7=DADOS!$J$2," ")))))))))))</f>
        <v>0</v>
      </c>
      <c r="I9" s="114">
        <f>IF($K$7=DADOS!$J$3,'AÉREO REGULAR'!J11,IF($K$7=DADOS!$J$4,'AÉREO REGULAR'!J26,IF($K$7=DADOS!$J$5,'AÉREO REGULAR'!J41,IF($K$7=DADOS!$J$6,'AÉREO REGULAR'!J56,IF($K$7=DADOS!$J$7,'AÉREO REGULAR'!J71,IF($K$7=DADOS!$J$8,'AÉREO REGULAR'!J86,IF($K$7=DADOS!$J$9,'AÉREO REGULAR'!J101,IF($K$7=DADOS!$J$10,'AÉREO REGULAR'!J116,IF($K$7=DADOS!$J$11,'AÉREO REGULAR'!J131,IF($K$7=DADOS!$J$12,'AÉREO REGULAR'!J146,IF($K$7=DADOS!$J$2," ")))))))))))</f>
        <v>0</v>
      </c>
    </row>
    <row r="10" spans="1:12" x14ac:dyDescent="0.35">
      <c r="A10" s="429" t="s">
        <v>36</v>
      </c>
      <c r="B10" s="430" t="str">
        <f>IF($K$7=DADOS!$J$3,'AÉREO REGULAR'!B12,IF($K$7=DADOS!$J$4,'AÉREO REGULAR'!B27,IF($K$7=DADOS!$J$5,'AÉREO REGULAR'!B42,IF($K$7=DADOS!$J$6,'AÉREO REGULAR'!B57,IF($K$7=DADOS!$J$7,'AÉREO REGULAR'!B72,IF($K$7=DADOS!$J$8,'AÉREO REGULAR'!B87,IF($K$7=DADOS!$J$9,'AÉREO REGULAR'!B102,IF($K$7=DADOS!$J$10,'AÉREO REGULAR'!B117,IF($K$7=DADOS!$J$11,'AÉREO REGULAR'!B132,IF($K$7=DADOS!$J$12,'AÉREO REGULAR'!B147,IF($K$7=DADOS!$J$2," ")))))))))))</f>
        <v>CONEXÃO</v>
      </c>
      <c r="C10" s="431"/>
      <c r="D10" s="98" t="s">
        <v>34</v>
      </c>
      <c r="E10" s="395">
        <f>IF($K$7=DADOS!$J$3,'AÉREO REGULAR'!E12,IF($K$7=DADOS!$J$4,'AÉREO REGULAR'!E27,IF($K$7=DADOS!$J$5,'AÉREO REGULAR'!E42,IF($K$7=DADOS!$J$6,'AÉREO REGULAR'!E57,IF($K$7=DADOS!$J$7,'AÉREO REGULAR'!E72,IF($K$7=DADOS!$J$8,'AÉREO REGULAR'!E87,IF($K$7=DADOS!$J$9,'AÉREO REGULAR'!E102,IF($K$7=DADOS!$J$10,'AÉREO REGULAR'!E117,IF($K$7=DADOS!$J$11,'AÉREO REGULAR'!E132,IF($K$7=DADOS!$J$12,'AÉREO REGULAR'!E147,IF($K$7=DADOS!$J$2," ")))))))))))</f>
        <v>0</v>
      </c>
      <c r="F10" s="396"/>
      <c r="G10" s="396"/>
      <c r="H10" s="396"/>
      <c r="I10" s="397"/>
    </row>
    <row r="11" spans="1:12" x14ac:dyDescent="0.35">
      <c r="A11" s="429"/>
      <c r="B11" s="393" t="s">
        <v>12</v>
      </c>
      <c r="C11" s="393"/>
      <c r="D11" s="99" t="s">
        <v>13</v>
      </c>
      <c r="E11" s="99" t="s">
        <v>15</v>
      </c>
      <c r="F11" s="101" t="s">
        <v>16</v>
      </c>
      <c r="G11" s="99" t="s">
        <v>17</v>
      </c>
      <c r="H11" s="99" t="s">
        <v>18</v>
      </c>
      <c r="I11" s="99" t="s">
        <v>19</v>
      </c>
    </row>
    <row r="12" spans="1:12" x14ac:dyDescent="0.35">
      <c r="A12" s="429"/>
      <c r="B12" s="432">
        <f>IF($K$7=DADOS!$J$3,'AÉREO REGULAR'!B13,IF($K$7=DADOS!$J$4,'AÉREO REGULAR'!B28,IF($K$7=DADOS!$J$5,'AÉREO REGULAR'!B43,IF($K$7=DADOS!$J$6,'AÉREO REGULAR'!B58,IF($K$7=DADOS!$J$7,'AÉREO REGULAR'!B73,IF($K$7=DADOS!$J$8,'AÉREO REGULAR'!B88,IF($K$7=DADOS!$J$9,'AÉREO REGULAR'!B103,IF($K$7=DADOS!$J$10,'AÉREO REGULAR'!B118,IF($K$7=DADOS!$J$11,'AÉREO REGULAR'!B133,IF($K$7=DADOS!$J$12,'AÉREO REGULAR'!B148,IF($K$7=DADOS!$J$2," ")))))))))))</f>
        <v>0</v>
      </c>
      <c r="C12" s="433"/>
      <c r="D12" s="100">
        <f>IF($K$7=DADOS!$J$3,'AÉREO REGULAR'!D13,IF($K$7=DADOS!$J$4,'AÉREO REGULAR'!D28,IF($K$7=DADOS!$J$5,'AÉREO REGULAR'!D43,IF($K$7=DADOS!$J$6,'AÉREO REGULAR'!B58,IF($K$7=DADOS!$J$7,'AÉREO REGULAR'!B73,IF($K$7=DADOS!$J$8,'AÉREO REGULAR'!D88,IF($K$7=DADOS!$J$9,'AÉREO REGULAR'!D103,IF($K$7=DADOS!$J$10,'AÉREO REGULAR'!D118,IF($K$7=DADOS!$J$11,'AÉREO REGULAR'!D133,IF($K$7=DADOS!$J$12,'AÉREO REGULAR'!D148,IF($K$7=DADOS!$J$2," ")))))))))))</f>
        <v>0</v>
      </c>
      <c r="E12" s="103">
        <f>IF($K$7=DADOS!$J$3,'AÉREO REGULAR'!F13,IF($K$7=DADOS!$J$4,'AÉREO REGULAR'!F28,IF($K$7=DADOS!$J$5,'AÉREO REGULAR'!F43,IF($K$7=DADOS!$J$6,'AÉREO REGULAR'!F58,IF($K$7=DADOS!$J$7,'AÉREO REGULAR'!F73,IF($K$7=DADOS!$J$8,'AÉREO REGULAR'!F88,IF($K$7=DADOS!$J$9,'AÉREO REGULAR'!F103,IF($K$7=DADOS!$J$10,'AÉREO REGULAR'!F118,IF($K$7=DADOS!$J$11,'AÉREO REGULAR'!F133,IF($K$7=DADOS!$J$12,'AÉREO REGULAR'!F148,IF($K$7=DADOS!$J$2," ")))))))))))</f>
        <v>0</v>
      </c>
      <c r="F12" s="102">
        <f>IF($K$7=DADOS!$J$3,'AÉREO REGULAR'!G14,IF($K$7=DADOS!$J$4,'AÉREO REGULAR'!G25,IF($K$7=DADOS!$J$5,'AÉREO REGULAR'!G42,IF($K$7=DADOS!$J$6,'AÉREO REGULAR'!G58,IF($K$7=DADOS!$J$7,'AÉREO REGULAR'!G73,IF($K$7=DADOS!$J$8,'AÉREO REGULAR'!G88,IF($K$7=DADOS!$J$9,'AÉREO REGULAR'!G103,IF($K$7=DADOS!$J$10,'AÉREO REGULAR'!G118,IF($K$7=DADOS!$J$11,'AÉREO REGULAR'!G133,IF($K$7=DADOS!$J$12,'AÉREO REGULAR'!G148,IF($K$7=DADOS!$J$2," ")))))))))))</f>
        <v>0</v>
      </c>
      <c r="G12" s="104">
        <f>IF($K$7=DADOS!$J$3,'AÉREO REGULAR'!H13,IF($K$7=DADOS!$J$4,'AÉREO REGULAR'!H28,IF($K$7=DADOS!$J$5,'AÉREO REGULAR'!H43,IF($K$7=DADOS!$J$6,'AÉREO REGULAR'!H58,IF($K$7=DADOS!$J$7,'AÉREO REGULAR'!H73,IF($K$7=DADOS!$J$8,'AÉREO REGULAR'!H88,IF($K$7=DADOS!$J$9,'AÉREO REGULAR'!H103,IF($K$7=DADOS!$J$10,'AÉREO REGULAR'!H118,IF($K$7=DADOS!$J$11,'AÉREO REGULAR'!H133,IF($K$7=DADOS!$J$12,'AÉREO REGULAR'!H148,IF($K$7=DADOS!$J$2," ")))))))))))</f>
        <v>0</v>
      </c>
      <c r="H12" s="105">
        <f>IF($K$7=DADOS!$J$3,'AÉREO REGULAR'!I13,IF($K$7=DADOS!$J$4,'AÉREO REGULAR'!I28,IF($K$7=DADOS!$J$5,'AÉREO REGULAR'!I43,IF($K$7=DADOS!$J$6,'AÉREO REGULAR'!I58,IF($K$7=DADOS!$J$7,'AÉREO REGULAR'!I73,IF($K$7=DADOS!$J$8,'AÉREO REGULAR'!I88,IF($K$7=DADOS!$J$9,'AÉREO REGULAR'!J103,IF($K$7=DADOS!$J$10,'AÉREO REGULAR'!J118,IF($K$7=DADOS!$J$11,'AÉREO REGULAR'!J133,IF($K$7=DADOS!$J$12,'AÉREO REGULAR'!J148,IF($K$7=DADOS!$J$2," ")))))))))))</f>
        <v>0</v>
      </c>
      <c r="I12" s="114">
        <f>IF($K$7=DADOS!$J$3,'AÉREO REGULAR'!J13,IF($K$7=DADOS!$J$4,'AÉREO REGULAR'!J28,IF($K$7=DADOS!$J$5,'AÉREO REGULAR'!J43,IF($K$7=DADOS!$J$6,'AÉREO REGULAR'!J58,IF($K$7=DADOS!$J$7,'AÉREO REGULAR'!J73,IF($K$7=DADOS!$J$8,'AÉREO REGULAR'!J88,IF($K$7=DADOS!$J$9,'AÉREO REGULAR'!J103,IF($K$7=DADOS!$J$10,'AÉREO REGULAR'!J118,IF($K$7=DADOS!$J$11,'AÉREO REGULAR'!J133,IF($K$7=DADOS!$J$12,'AÉREO REGULAR'!J148,IF($K$7=DADOS!$J$2," ")))))))))))</f>
        <v>0</v>
      </c>
    </row>
    <row r="13" spans="1:12" x14ac:dyDescent="0.35">
      <c r="A13" s="429"/>
      <c r="B13" s="432">
        <f>IF($K$7=DADOS!$J$3,'AÉREO REGULAR'!B14,IF($K$7=DADOS!$J$4,'AÉREO REGULAR'!B29,IF($K$7=DADOS!$J$5,'AÉREO REGULAR'!B44,IF($K$7=DADOS!$J$6,'AÉREO REGULAR'!B59,IF($K$7=DADOS!$J$7,'AÉREO REGULAR'!B74,IF($K$7=DADOS!$J$8,'AÉREO REGULAR'!B89,IF($K$7=DADOS!$J$9,'AÉREO REGULAR'!B104,IF($K$7=DADOS!$J$10,'AÉREO REGULAR'!B119,IF($K$7=DADOS!$J$11,'AÉREO REGULAR'!B134,IF($K$7=DADOS!$J$12,'AÉREO REGULAR'!B149,IF($K$7=DADOS!$J$2," ")))))))))))</f>
        <v>0</v>
      </c>
      <c r="C13" s="433"/>
      <c r="D13" s="100">
        <f>IF($K$7=DADOS!$J$3,'AÉREO REGULAR'!D14,IF($K$7=DADOS!$J$4,'AÉREO REGULAR'!D29,IF($K$7=DADOS!$J$5,'AÉREO REGULAR'!D44,IF($K$7=DADOS!$J$6,'AÉREO REGULAR'!B59,IF($K$7=DADOS!$J$7,'AÉREO REGULAR'!B74,IF($K$7=DADOS!$J$8,'AÉREO REGULAR'!D89,IF($K$7=DADOS!$J$9,'AÉREO REGULAR'!D104,IF($K$7=DADOS!$J$10,'AÉREO REGULAR'!D119,IF($K$7=DADOS!$J$11,'AÉREO REGULAR'!D134,IF($K$7=DADOS!$J$12,'AÉREO REGULAR'!D149,IF($K$7=DADOS!$J$2," ")))))))))))</f>
        <v>0</v>
      </c>
      <c r="E13" s="103">
        <f>IF($K$7=DADOS!$J$3,'AÉREO REGULAR'!F14,IF($K$7=DADOS!$J$4,'AÉREO REGULAR'!F29,IF($K$7=DADOS!$J$5,'AÉREO REGULAR'!F44,IF($K$7=DADOS!$J$6,'AÉREO REGULAR'!F59,IF($K$7=DADOS!$J$7,'AÉREO REGULAR'!F74,IF($K$7=DADOS!$J$8,'AÉREO REGULAR'!F89,IF($K$7=DADOS!$J$9,'AÉREO REGULAR'!F104,IF($K$7=DADOS!$J$10,'AÉREO REGULAR'!F119,IF($K$7=DADOS!$J$11,'AÉREO REGULAR'!F134,IF($K$7=DADOS!$J$12,'AÉREO REGULAR'!F149,IF($K$7=DADOS!$J$2," ")))))))))))</f>
        <v>0</v>
      </c>
      <c r="F13" s="102">
        <f>IF($K$7=DADOS!$J$3,'AÉREO REGULAR'!G15,IF($K$7=DADOS!$J$4,'AÉREO REGULAR'!G26,IF($K$7=DADOS!$J$5,'AÉREO REGULAR'!G43,IF($K$7=DADOS!$J$6,'AÉREO REGULAR'!G59,IF($K$7=DADOS!$J$7,'AÉREO REGULAR'!G74,IF($K$7=DADOS!$J$8,'AÉREO REGULAR'!G89,IF($K$7=DADOS!$J$9,'AÉREO REGULAR'!G104,IF($K$7=DADOS!$J$10,'AÉREO REGULAR'!G119,IF($K$7=DADOS!$J$11,'AÉREO REGULAR'!G134,IF($K$7=DADOS!$J$12,'AÉREO REGULAR'!G149,IF($K$7=DADOS!$J$2," ")))))))))))</f>
        <v>0</v>
      </c>
      <c r="G13" s="104">
        <f>IF($K$7=DADOS!$J$3,'AÉREO REGULAR'!H14,IF($K$7=DADOS!$J$4,'AÉREO REGULAR'!H29,IF($K$7=DADOS!$J$5,'AÉREO REGULAR'!H44,IF($K$7=DADOS!$J$6,'AÉREO REGULAR'!H59,IF($K$7=DADOS!$J$7,'AÉREO REGULAR'!H74,IF($K$7=DADOS!$J$8,'AÉREO REGULAR'!H89,IF($K$7=DADOS!$J$9,'AÉREO REGULAR'!H104,IF($K$7=DADOS!$J$10,'AÉREO REGULAR'!H119,IF($K$7=DADOS!$J$11,'AÉREO REGULAR'!H134,IF($K$7=DADOS!$J$12,'AÉREO REGULAR'!H149,IF($K$7=DADOS!$J$2," ")))))))))))</f>
        <v>0</v>
      </c>
      <c r="H13" s="105">
        <f>IF($K$7=DADOS!$J$3,'AÉREO REGULAR'!I14,IF($K$7=DADOS!$J$4,'AÉREO REGULAR'!I29,IF($K$7=DADOS!$J$5,'AÉREO REGULAR'!I44,IF($K$7=DADOS!$J$6,'AÉREO REGULAR'!I59,IF($K$7=DADOS!$J$7,'AÉREO REGULAR'!I74,IF($K$7=DADOS!$J$8,'AÉREO REGULAR'!I89,IF($K$7=DADOS!$J$9,'AÉREO REGULAR'!J104,IF($K$7=DADOS!$J$10,'AÉREO REGULAR'!J119,IF($K$7=DADOS!$J$11,'AÉREO REGULAR'!J134,IF($K$7=DADOS!$J$12,'AÉREO REGULAR'!J149,IF($K$7=DADOS!$J$2," ")))))))))))</f>
        <v>0</v>
      </c>
      <c r="I13" s="114">
        <f>IF($K$7=DADOS!$J$3,'AÉREO REGULAR'!J14,IF($K$7=DADOS!$J$4,'AÉREO REGULAR'!J29,IF($K$7=DADOS!$J$5,'AÉREO REGULAR'!J44,IF($K$7=DADOS!$J$6,'AÉREO REGULAR'!J59,IF($K$7=DADOS!$J$7,'AÉREO REGULAR'!J74,IF($K$7=DADOS!$J$8,'AÉREO REGULAR'!J89,IF($K$7=DADOS!$J$9,'AÉREO REGULAR'!J104,IF($K$7=DADOS!$J$10,'AÉREO REGULAR'!J119,IF($K$7=DADOS!$J$11,'AÉREO REGULAR'!J134,IF($K$7=DADOS!$J$12,'AÉREO REGULAR'!J149,IF($K$7=DADOS!$J$2," ")))))))))))</f>
        <v>0</v>
      </c>
    </row>
    <row r="14" spans="1:12" x14ac:dyDescent="0.35">
      <c r="A14" s="429"/>
      <c r="B14" s="432">
        <f>IF($K$7=DADOS!$J$3,'AÉREO REGULAR'!B15,IF($K$7=DADOS!$J$4,'AÉREO REGULAR'!B30,IF($K$7=DADOS!$J$5,'AÉREO REGULAR'!B45,IF($K$7=DADOS!$J$6,'AÉREO REGULAR'!B60,IF($K$7=DADOS!$J$7,'AÉREO REGULAR'!B75,IF($K$7=DADOS!$J$8,'AÉREO REGULAR'!B90,IF($K$7=DADOS!$J$9,'AÉREO REGULAR'!B105,IF($K$7=DADOS!$J$10,'AÉREO REGULAR'!B120,IF($K$7=DADOS!$J$11,'AÉREO REGULAR'!B135,IF($K$7=DADOS!$J$12,'AÉREO REGULAR'!B150,IF($K$7=DADOS!$J$2," ")))))))))))</f>
        <v>0</v>
      </c>
      <c r="C14" s="433"/>
      <c r="D14" s="100">
        <f>IF($K$7=DADOS!$J$3,'AÉREO REGULAR'!D15,IF($K$7=DADOS!$J$4,'AÉREO REGULAR'!D30,IF($K$7=DADOS!$J$5,'AÉREO REGULAR'!D45,IF($K$7=DADOS!$J$6,'AÉREO REGULAR'!B60,IF($K$7=DADOS!$J$7,'AÉREO REGULAR'!B75,IF($K$7=DADOS!$J$8,'AÉREO REGULAR'!D90,IF($K$7=DADOS!$J$9,'AÉREO REGULAR'!D105,IF($K$7=DADOS!$J$10,'AÉREO REGULAR'!D120,IF($K$7=DADOS!$J$11,'AÉREO REGULAR'!D135,IF($K$7=DADOS!$J$12,'AÉREO REGULAR'!D150,IF($K$7=DADOS!$J$2," ")))))))))))</f>
        <v>0</v>
      </c>
      <c r="E14" s="103">
        <f>IF($K$7=DADOS!$J$3,'AÉREO REGULAR'!F15,IF($K$7=DADOS!$J$4,'AÉREO REGULAR'!F30,IF($K$7=DADOS!$J$5,'AÉREO REGULAR'!F45,IF($K$7=DADOS!$J$6,'AÉREO REGULAR'!F60,IF($K$7=DADOS!$J$7,'AÉREO REGULAR'!F75,IF($K$7=DADOS!$J$8,'AÉREO REGULAR'!F90,IF($K$7=DADOS!$J$9,'AÉREO REGULAR'!F105,IF($K$7=DADOS!$J$10,'AÉREO REGULAR'!F120,IF($K$7=DADOS!$J$11,'AÉREO REGULAR'!F135,IF($K$7=DADOS!$J$12,'AÉREO REGULAR'!F150,IF($K$7=DADOS!$J$2," ")))))))))))</f>
        <v>0</v>
      </c>
      <c r="F14" s="102">
        <f>IF($K$7=DADOS!$J$3,'AÉREO REGULAR'!G16,IF($K$7=DADOS!$J$4,'AÉREO REGULAR'!G27,IF($K$7=DADOS!$J$5,'AÉREO REGULAR'!G44,IF($K$7=DADOS!$J$6,'AÉREO REGULAR'!G60,IF($K$7=DADOS!$J$7,'AÉREO REGULAR'!G75,IF($K$7=DADOS!$J$8,'AÉREO REGULAR'!G90,IF($K$7=DADOS!$J$9,'AÉREO REGULAR'!G105,IF($K$7=DADOS!$J$10,'AÉREO REGULAR'!G120,IF($K$7=DADOS!$J$11,'AÉREO REGULAR'!G135,IF($K$7=DADOS!$J$12,'AÉREO REGULAR'!G150,IF($K$7=DADOS!$J$2," ")))))))))))</f>
        <v>0</v>
      </c>
      <c r="G14" s="104">
        <f>IF($K$7=DADOS!$J$3,'AÉREO REGULAR'!H15,IF($K$7=DADOS!$J$4,'AÉREO REGULAR'!H30,IF($K$7=DADOS!$J$5,'AÉREO REGULAR'!H45,IF($K$7=DADOS!$J$6,'AÉREO REGULAR'!H60,IF($K$7=DADOS!$J$7,'AÉREO REGULAR'!H75,IF($K$7=DADOS!$J$8,'AÉREO REGULAR'!H90,IF($K$7=DADOS!$J$9,'AÉREO REGULAR'!H105,IF($K$7=DADOS!$J$10,'AÉREO REGULAR'!H120,IF($K$7=DADOS!$J$11,'AÉREO REGULAR'!H135,IF($K$7=DADOS!$J$12,'AÉREO REGULAR'!H150,IF($K$7=DADOS!$J$2," ")))))))))))</f>
        <v>0</v>
      </c>
      <c r="H14" s="105">
        <f>IF($K$7=DADOS!$J$3,'AÉREO REGULAR'!I15,IF($K$7=DADOS!$J$4,'AÉREO REGULAR'!I30,IF($K$7=DADOS!$J$5,'AÉREO REGULAR'!I45,IF($K$7=DADOS!$J$6,'AÉREO REGULAR'!I60,IF($K$7=DADOS!$J$7,'AÉREO REGULAR'!I75,IF($K$7=DADOS!$J$8,'AÉREO REGULAR'!I90,IF($K$7=DADOS!$J$9,'AÉREO REGULAR'!J105,IF($K$7=DADOS!$J$10,'AÉREO REGULAR'!J120,IF($K$7=DADOS!$J$11,'AÉREO REGULAR'!J135,IF($K$7=DADOS!$J$12,'AÉREO REGULAR'!J150,IF($K$7=DADOS!$J$2," ")))))))))))</f>
        <v>0</v>
      </c>
      <c r="I14" s="114">
        <f>IF($K$7=DADOS!$J$3,'AÉREO REGULAR'!J15,IF($K$7=DADOS!$J$4,'AÉREO REGULAR'!J30,IF($K$7=DADOS!$J$5,'AÉREO REGULAR'!J45,IF($K$7=DADOS!$J$6,'AÉREO REGULAR'!J60,IF($K$7=DADOS!$J$7,'AÉREO REGULAR'!J75,IF($K$7=DADOS!$J$8,'AÉREO REGULAR'!J90,IF($K$7=DADOS!$J$9,'AÉREO REGULAR'!J105,IF($K$7=DADOS!$J$10,'AÉREO REGULAR'!J120,IF($K$7=DADOS!$J$11,'AÉREO REGULAR'!J135,IF($K$7=DADOS!$J$12,'AÉREO REGULAR'!J150,IF($K$7=DADOS!$J$2," ")))))))))))</f>
        <v>0</v>
      </c>
    </row>
    <row r="15" spans="1:12" x14ac:dyDescent="0.35">
      <c r="A15" s="429"/>
      <c r="B15" s="428" t="str">
        <f>IF($K$7=DADOS!$J$3,'AÉREO REGULAR'!B16,IF($K$7=DADOS!$J$4,'AÉREO REGULAR'!B31,IF($K$7=DADOS!$J$5,'AÉREO REGULAR'!B46,IF($K$7=DADOS!$J$6,'AÉREO REGULAR'!B61,IF($K$7=DADOS!$J$7,'AÉREO REGULAR'!B76,IF($K$7=DADOS!$J$8,'AÉREO REGULAR'!B91,IF($K$7=DADOS!$J$9,'AÉREO REGULAR'!B106,IF($K$7=DADOS!$J$10,'AÉREO REGULAR'!B121,IF($K$7=DADOS!$J$11,'AÉREO REGULAR'!B136,IF($K$7=DADOS!$J$12,'AÉREO REGULAR'!B151,IF($K$7=DADOS!$J$2," ")))))))))))</f>
        <v>CONEXÃO</v>
      </c>
      <c r="C15" s="428"/>
      <c r="D15" s="98" t="s">
        <v>34</v>
      </c>
      <c r="E15" s="395">
        <f>IF($K$7=DADOS!$J$3,'AÉREO REGULAR'!E16,IF($K$7=DADOS!$J$4,'AÉREO REGULAR'!E31,IF($K$7=DADOS!$J$5,'AÉREO REGULAR'!E46,IF($K$7=DADOS!$J$6,'AÉREO REGULAR'!E61,IF($K$7=DADOS!$J$7,'AÉREO REGULAR'!E76,IF($K$7=DADOS!$J$8,'AÉREO REGULAR'!E91,IF($K$7=DADOS!$J$9,'AÉREO REGULAR'!E106,IF($K$7=DADOS!$J$10,'AÉREO REGULAR'!E121,IF($K$7=DADOS!$J$11,'AÉREO REGULAR'!E136,IF($K$7=DADOS!$J$12,'AÉREO REGULAR'!E151,IF($K$7=DADOS!$J$2," ")))))))))))</f>
        <v>0</v>
      </c>
      <c r="F15" s="396"/>
      <c r="G15" s="396"/>
      <c r="H15" s="396"/>
      <c r="I15" s="397"/>
    </row>
    <row r="16" spans="1:12" x14ac:dyDescent="0.35">
      <c r="A16" s="425"/>
      <c r="B16" s="426"/>
      <c r="C16" s="426"/>
      <c r="D16" s="426"/>
      <c r="E16" s="426"/>
      <c r="F16" s="426"/>
      <c r="G16" s="426"/>
      <c r="H16" s="426"/>
      <c r="I16" s="427"/>
    </row>
    <row r="17" spans="1:12" x14ac:dyDescent="0.35">
      <c r="A17" s="398" t="s">
        <v>65</v>
      </c>
      <c r="B17" s="399"/>
      <c r="C17" s="399"/>
      <c r="D17" s="399"/>
      <c r="E17" s="399"/>
      <c r="F17" s="399"/>
      <c r="G17" s="399"/>
      <c r="H17" s="399"/>
      <c r="I17" s="400"/>
    </row>
    <row r="18" spans="1:12" ht="15" customHeight="1" x14ac:dyDescent="0.35">
      <c r="A18" s="409" t="s">
        <v>66</v>
      </c>
      <c r="B18" s="410"/>
      <c r="C18" s="410"/>
      <c r="D18" s="410"/>
      <c r="E18" s="410"/>
      <c r="F18" s="410"/>
      <c r="G18" s="410"/>
      <c r="H18" s="410"/>
      <c r="I18" s="411"/>
    </row>
    <row r="19" spans="1:12" x14ac:dyDescent="0.35">
      <c r="A19" s="412"/>
      <c r="B19" s="413"/>
      <c r="C19" s="413"/>
      <c r="D19" s="413"/>
      <c r="E19" s="413"/>
      <c r="F19" s="413"/>
      <c r="G19" s="413"/>
      <c r="H19" s="413"/>
      <c r="I19" s="414"/>
    </row>
    <row r="20" spans="1:12" x14ac:dyDescent="0.35">
      <c r="A20" s="412"/>
      <c r="B20" s="413"/>
      <c r="C20" s="413"/>
      <c r="D20" s="413"/>
      <c r="E20" s="413"/>
      <c r="F20" s="413"/>
      <c r="G20" s="413"/>
      <c r="H20" s="413"/>
      <c r="I20" s="414"/>
      <c r="J20" s="126"/>
    </row>
    <row r="21" spans="1:12" x14ac:dyDescent="0.35">
      <c r="A21" s="412"/>
      <c r="B21" s="413"/>
      <c r="C21" s="413"/>
      <c r="D21" s="413"/>
      <c r="E21" s="413"/>
      <c r="F21" s="413"/>
      <c r="G21" s="413"/>
      <c r="H21" s="413"/>
      <c r="I21" s="414"/>
    </row>
    <row r="22" spans="1:12" ht="15" customHeight="1" x14ac:dyDescent="0.35">
      <c r="A22" s="412"/>
      <c r="B22" s="413"/>
      <c r="C22" s="413"/>
      <c r="D22" s="413"/>
      <c r="E22" s="413"/>
      <c r="F22" s="413"/>
      <c r="G22" s="413"/>
      <c r="H22" s="413"/>
      <c r="I22" s="414"/>
      <c r="L22" s="126"/>
    </row>
    <row r="23" spans="1:12" x14ac:dyDescent="0.35">
      <c r="A23" s="412"/>
      <c r="B23" s="413"/>
      <c r="C23" s="413"/>
      <c r="D23" s="413"/>
      <c r="E23" s="413"/>
      <c r="F23" s="413"/>
      <c r="G23" s="413"/>
      <c r="H23" s="413"/>
      <c r="I23" s="414"/>
    </row>
    <row r="24" spans="1:12" x14ac:dyDescent="0.35">
      <c r="A24" s="412"/>
      <c r="B24" s="413"/>
      <c r="C24" s="413"/>
      <c r="D24" s="413"/>
      <c r="E24" s="413"/>
      <c r="F24" s="413"/>
      <c r="G24" s="413"/>
      <c r="H24" s="413"/>
      <c r="I24" s="414"/>
    </row>
    <row r="25" spans="1:12" x14ac:dyDescent="0.35">
      <c r="A25" s="412"/>
      <c r="B25" s="413"/>
      <c r="C25" s="413"/>
      <c r="D25" s="413"/>
      <c r="E25" s="413"/>
      <c r="F25" s="413"/>
      <c r="G25" s="413"/>
      <c r="H25" s="413"/>
      <c r="I25" s="414"/>
    </row>
    <row r="26" spans="1:12" x14ac:dyDescent="0.35">
      <c r="A26" s="412"/>
      <c r="B26" s="413"/>
      <c r="C26" s="413"/>
      <c r="D26" s="413"/>
      <c r="E26" s="413"/>
      <c r="F26" s="413"/>
      <c r="G26" s="413"/>
      <c r="H26" s="413"/>
      <c r="I26" s="414"/>
    </row>
    <row r="27" spans="1:12" x14ac:dyDescent="0.35">
      <c r="A27" s="412"/>
      <c r="B27" s="413"/>
      <c r="C27" s="413"/>
      <c r="D27" s="413"/>
      <c r="E27" s="413"/>
      <c r="F27" s="413"/>
      <c r="G27" s="413"/>
      <c r="H27" s="413"/>
      <c r="I27" s="414"/>
    </row>
    <row r="28" spans="1:12" x14ac:dyDescent="0.35">
      <c r="A28" s="412"/>
      <c r="B28" s="413"/>
      <c r="C28" s="413"/>
      <c r="D28" s="413"/>
      <c r="E28" s="413"/>
      <c r="F28" s="413"/>
      <c r="G28" s="413"/>
      <c r="H28" s="413"/>
      <c r="I28" s="414"/>
    </row>
    <row r="29" spans="1:12" ht="15.75" customHeight="1" x14ac:dyDescent="0.35">
      <c r="A29" s="415" t="s">
        <v>67</v>
      </c>
      <c r="B29" s="416"/>
      <c r="C29" s="416"/>
      <c r="D29" s="416"/>
      <c r="E29" s="416"/>
      <c r="F29" s="416"/>
      <c r="G29" s="416"/>
      <c r="H29" s="416"/>
      <c r="I29" s="417"/>
    </row>
    <row r="30" spans="1:12" x14ac:dyDescent="0.35">
      <c r="A30" s="406" t="s">
        <v>68</v>
      </c>
      <c r="B30" s="407"/>
      <c r="C30" s="408"/>
      <c r="D30" s="401" t="s">
        <v>69</v>
      </c>
      <c r="E30" s="401"/>
      <c r="F30" s="418" t="s">
        <v>70</v>
      </c>
      <c r="G30" s="418"/>
      <c r="H30" s="161" t="s">
        <v>71</v>
      </c>
      <c r="I30" s="164" t="s">
        <v>72</v>
      </c>
    </row>
    <row r="31" spans="1:12" x14ac:dyDescent="0.35">
      <c r="A31" s="419">
        <f>IF($K$7=DADOS!$J$3,'AÉREO REGULAR'!O12,IF($K$7=DADOS!$J$4,'AÉREO REGULAR'!O27,IF($K$7=DADOS!$J$5,'AÉREO REGULAR'!O42,IF($K$7=DADOS!$J$6,'AÉREO REGULAR'!O57,IF($K$7=DADOS!$J$7,'AÉREO REGULAR'!O72,IF($K$7=DADOS!$J$8,'AÉREO REGULAR'!O87,IF($K$7=DADOS!$J$9,'AÉREO REGULAR'!O102,IF($K$7=DADOS!$J$10,'AÉREO REGULAR'!O117,IF($K$7=DADOS!$J$11,'AÉREO REGULAR'!O132,IF($K$7=DADOS!$J$12,'AÉREO REGULAR'!O147,IF($K$7=DADOS!$J$2," ")))))))))))</f>
        <v>0</v>
      </c>
      <c r="B31" s="420"/>
      <c r="C31" s="420"/>
      <c r="D31" s="404">
        <f>IF($K$7=DADOS!$J$3,'AÉREO REGULAR'!O9,IF($K$7=DADOS!$J$4,'AÉREO REGULAR'!O24,IF($K$7=DADOS!$J$5,'AÉREO REGULAR'!O39,IF($K$7=DADOS!$J$6,'AÉREO REGULAR'!O54,IF($K$7=DADOS!$J$7,'AÉREO REGULAR'!O69,IF($K$7=DADOS!$J$8,'AÉREO REGULAR'!O84,IF($K$7=DADOS!$J$9,'AÉREO REGULAR'!O99,IF($K$7=DADOS!$J$10,'AÉREO REGULAR'!O114,IF($K$7=DADOS!$J$11,'AÉREO REGULAR'!O129,IF($K$7=DADOS!$J$12,'AÉREO REGULAR'!O144,IF($K$7=DADOS!$J$2," ")))))))))))</f>
        <v>0</v>
      </c>
      <c r="E31" s="405"/>
      <c r="F31" s="421">
        <f>IF($K$7=DADOS!$J$3,'AÉREO REGULAR'!L15,IF($K$7=DADOS!$J$4,'AÉREO REGULAR'!L30,IF($K$7=DADOS!$J$5,'AÉREO REGULAR'!L45,IF($K$7=DADOS!$J$6,'AÉREO REGULAR'!L60,IF($K$7=DADOS!$J$7,'AÉREO REGULAR'!L75,IF($K$7=DADOS!$J$8,'AÉREO REGULAR'!L90,IF($K$7=DADOS!$J$9,'AÉREO REGULAR'!L105,IF($K$7=DADOS!$J$10,'AÉREO REGULAR'!L120,IF($K$7=DADOS!$J$11,'AÉREO REGULAR'!L135,IF($K$7=DADOS!$J$12,'AÉREO REGULAR'!L150,IF($K$7=DADOS!$J$2," ")))))))))))</f>
        <v>0</v>
      </c>
      <c r="G31" s="422"/>
      <c r="H31" s="166">
        <f>IF($K$7=DADOS!$J$3,'AÉREO REGULAR'!L13,IF($K$7=DADOS!$J$4,'AÉREO REGULAR'!L28,IF($K$7=DADOS!$J$5,'AÉREO REGULAR'!L43,IF($K$7=DADOS!$J$6,'AÉREO REGULAR'!L58,IF($K$7=DADOS!$J$7,'AÉREO REGULAR'!L73,IF($K$7=DADOS!$J$8,'AÉREO REGULAR'!L88,IF($K$7=DADOS!$J$9,'AÉREO REGULAR'!L103,IF($K$7=DADOS!$J$10,'AÉREO REGULAR'!L118,IF($K$7=DADOS!$J$11,'AÉREO REGULAR'!L133,IF($K$7=DADOS!$J$12,'AÉREO REGULAR'!L148,IF($K$7=DADOS!$J$2," ")))))))))))</f>
        <v>0.06</v>
      </c>
      <c r="I31" s="165">
        <f>IF($K$7=DADOS!$J$3,'AÉREO REGULAR'!O19,IF($K$7=DADOS!$J$4,'AÉREO REGULAR'!O34,IF($K$7=DADOS!$J$5,'AÉREO REGULAR'!O49,IF($K$7=DADOS!$J$6,'AÉREO REGULAR'!O64,IF($K$7=DADOS!$J$7,'AÉREO REGULAR'!O79,IF($K$7=DADOS!$J$8,'AÉREO REGULAR'!O94,IF($K$7=DADOS!$J$9,'AÉREO REGULAR'!O109,IF($K$7=DADOS!$J$10,'AÉREO REGULAR'!O124,IF($K$7=DADOS!$J$11,'AÉREO REGULAR'!O139,IF($K$7=DADOS!$J$12,'AÉREO REGULAR'!O154,IF($K$7=DADOS!$J$2," ")))))))))))</f>
        <v>0</v>
      </c>
    </row>
    <row r="32" spans="1:12" x14ac:dyDescent="0.35">
      <c r="A32" s="78"/>
      <c r="B32" s="79"/>
      <c r="C32" s="78"/>
      <c r="D32" s="79"/>
      <c r="E32" s="79"/>
      <c r="F32" s="78"/>
      <c r="G32" s="79"/>
      <c r="H32" s="78"/>
      <c r="I32" s="78"/>
    </row>
    <row r="33" spans="1:9" x14ac:dyDescent="0.35">
      <c r="A33" s="78"/>
      <c r="B33" s="80"/>
      <c r="C33" s="80"/>
      <c r="D33" s="80"/>
      <c r="E33" s="81"/>
      <c r="F33" s="81"/>
      <c r="G33" s="81"/>
      <c r="H33" s="81"/>
      <c r="I33" s="81"/>
    </row>
    <row r="34" spans="1:9" x14ac:dyDescent="0.35">
      <c r="A34" s="78"/>
      <c r="B34" s="81"/>
      <c r="C34" s="81"/>
      <c r="D34" s="81"/>
      <c r="E34" s="81"/>
      <c r="F34" s="81"/>
      <c r="G34" s="81"/>
      <c r="H34" s="81"/>
      <c r="I34" s="81"/>
    </row>
    <row r="35" spans="1:9" x14ac:dyDescent="0.35">
      <c r="A35" s="81" t="s">
        <v>73</v>
      </c>
      <c r="B35"/>
      <c r="C35" s="81"/>
      <c r="D35" s="81"/>
      <c r="E35" s="81"/>
      <c r="F35" s="81"/>
      <c r="G35" s="81"/>
      <c r="H35" s="81" t="s">
        <v>74</v>
      </c>
      <c r="I35" s="81"/>
    </row>
    <row r="36" spans="1:9" x14ac:dyDescent="0.35">
      <c r="A36" s="82"/>
      <c r="B36" s="402" t="s">
        <v>75</v>
      </c>
      <c r="C36" s="402"/>
      <c r="D36" s="402"/>
      <c r="E36" s="97"/>
      <c r="F36" s="3"/>
      <c r="G36" s="83"/>
      <c r="H36" s="402" t="s">
        <v>76</v>
      </c>
      <c r="I36" s="403"/>
    </row>
    <row r="37" spans="1:9" ht="18.5" x14ac:dyDescent="0.35">
      <c r="A37" s="84"/>
      <c r="B37" s="84"/>
      <c r="C37" s="85"/>
      <c r="D37" s="86"/>
      <c r="E37" s="86"/>
      <c r="F37" s="87"/>
      <c r="G37" s="87"/>
      <c r="H37" s="88"/>
      <c r="I37" s="88"/>
    </row>
    <row r="38" spans="1:9" ht="15.5" x14ac:dyDescent="0.35">
      <c r="A38" s="423"/>
      <c r="B38" s="84"/>
      <c r="C38" s="86"/>
      <c r="D38" s="89" t="s">
        <v>77</v>
      </c>
      <c r="E38" s="90"/>
      <c r="F38" s="91"/>
      <c r="G38"/>
      <c r="H38" s="92" t="s">
        <v>78</v>
      </c>
      <c r="I38" s="93"/>
    </row>
    <row r="39" spans="1:9" ht="15.75" customHeight="1" x14ac:dyDescent="0.35">
      <c r="A39" s="424"/>
      <c r="B39" s="3"/>
      <c r="C39" s="86"/>
      <c r="D39" s="394" t="s">
        <v>79</v>
      </c>
      <c r="E39" s="394"/>
      <c r="F39" s="394"/>
      <c r="G39" s="94" t="s">
        <v>80</v>
      </c>
      <c r="H39" s="95"/>
      <c r="I39" s="3"/>
    </row>
    <row r="40" spans="1:9" x14ac:dyDescent="0.35">
      <c r="A40" s="96"/>
      <c r="B40" s="96"/>
      <c r="C40" s="96"/>
      <c r="D40" s="86"/>
      <c r="E40" s="86"/>
      <c r="F40" s="96"/>
      <c r="G40" s="96"/>
      <c r="H40" s="96"/>
      <c r="I40" s="96"/>
    </row>
  </sheetData>
  <mergeCells count="34">
    <mergeCell ref="B15:C15"/>
    <mergeCell ref="B11:C11"/>
    <mergeCell ref="A6:A9"/>
    <mergeCell ref="A10:A15"/>
    <mergeCell ref="B10:C10"/>
    <mergeCell ref="B7:C7"/>
    <mergeCell ref="B8:C8"/>
    <mergeCell ref="B9:C9"/>
    <mergeCell ref="B12:C12"/>
    <mergeCell ref="B13:C13"/>
    <mergeCell ref="B14:C14"/>
    <mergeCell ref="D39:F39"/>
    <mergeCell ref="E10:I10"/>
    <mergeCell ref="E15:I15"/>
    <mergeCell ref="A17:I17"/>
    <mergeCell ref="D30:E30"/>
    <mergeCell ref="H36:I36"/>
    <mergeCell ref="D31:E31"/>
    <mergeCell ref="A30:C30"/>
    <mergeCell ref="A18:I28"/>
    <mergeCell ref="A29:I29"/>
    <mergeCell ref="F30:G30"/>
    <mergeCell ref="A31:C31"/>
    <mergeCell ref="F31:G31"/>
    <mergeCell ref="A38:A39"/>
    <mergeCell ref="B36:D36"/>
    <mergeCell ref="A16:I16"/>
    <mergeCell ref="A4:I4"/>
    <mergeCell ref="A2:I3"/>
    <mergeCell ref="A1:I1"/>
    <mergeCell ref="K6:L6"/>
    <mergeCell ref="K7:L7"/>
    <mergeCell ref="A5:I5"/>
    <mergeCell ref="B6:C6"/>
  </mergeCells>
  <conditionalFormatting sqref="B6 D6:I6">
    <cfRule type="beginsWith" dxfId="6" priority="11" operator="beginsWith" text="0">
      <formula>LEFT(B6,LEN("0"))="0"</formula>
    </cfRule>
  </conditionalFormatting>
  <conditionalFormatting sqref="B11 D11:I11">
    <cfRule type="beginsWith" dxfId="5" priority="5" operator="beginsWith" text="0">
      <formula>LEFT(B11,LEN("0"))="0"</formula>
    </cfRule>
  </conditionalFormatting>
  <conditionalFormatting sqref="B15">
    <cfRule type="containsErrors" dxfId="4" priority="6">
      <formula>ISERROR(B15)</formula>
    </cfRule>
  </conditionalFormatting>
  <conditionalFormatting sqref="B7:I9">
    <cfRule type="cellIs" dxfId="3" priority="4" operator="equal">
      <formula>0</formula>
    </cfRule>
  </conditionalFormatting>
  <conditionalFormatting sqref="B12:I14">
    <cfRule type="cellIs" dxfId="2" priority="3" operator="equal">
      <formula>0</formula>
    </cfRule>
  </conditionalFormatting>
  <conditionalFormatting sqref="E10:I10">
    <cfRule type="cellIs" dxfId="1" priority="2" operator="equal">
      <formula>0</formula>
    </cfRule>
  </conditionalFormatting>
  <conditionalFormatting sqref="E15:I15">
    <cfRule type="cellIs" dxfId="0" priority="1" operator="equal">
      <formula>0</formula>
    </cfRule>
  </conditionalFormatting>
  <hyperlinks>
    <hyperlink ref="H38" r:id="rId1" xr:uid="{AD0FA4CC-AA51-4DEA-97C8-0FDC01B68A13}"/>
  </hyperlinks>
  <pageMargins left="0.7" right="0.7" top="0.75" bottom="0.75" header="0.3" footer="0.3"/>
  <pageSetup paperSize="9" fitToHeight="0" orientation="portrait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8493D5-AC23-417A-8A35-03B9BE2BF0AE}">
          <x14:formula1>
            <xm:f>DADOS!J2:J12</xm:f>
          </x14:formula1>
          <xm:sqref>K7:L7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4"/>
  <sheetViews>
    <sheetView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B100" sqref="B100"/>
    </sheetView>
  </sheetViews>
  <sheetFormatPr defaultColWidth="9.1796875" defaultRowHeight="13" x14ac:dyDescent="0.3"/>
  <cols>
    <col min="1" max="1" width="38" style="1" bestFit="1" customWidth="1"/>
    <col min="2" max="2" width="16.81640625" style="1" customWidth="1"/>
    <col min="3" max="3" width="11.54296875" style="1" customWidth="1"/>
    <col min="4" max="4" width="11.81640625" style="1" customWidth="1"/>
    <col min="5" max="5" width="13.7265625" style="1" customWidth="1"/>
    <col min="6" max="6" width="16.1796875" style="1" customWidth="1"/>
    <col min="7" max="7" width="13.453125" style="1" customWidth="1"/>
    <col min="8" max="8" width="14.54296875" style="1" bestFit="1" customWidth="1"/>
    <col min="9" max="9" width="10.7265625" style="1" customWidth="1"/>
    <col min="10" max="10" width="13.7265625" style="1" customWidth="1"/>
    <col min="11" max="11" width="13" style="1" customWidth="1"/>
    <col min="12" max="16384" width="9.1796875" style="1"/>
  </cols>
  <sheetData>
    <row r="1" spans="1:24" ht="14.5" x14ac:dyDescent="0.35">
      <c r="A1" s="124" t="s">
        <v>81</v>
      </c>
      <c r="B1" s="434" t="s">
        <v>24</v>
      </c>
      <c r="C1" s="434"/>
      <c r="D1" s="434"/>
      <c r="E1" s="434"/>
      <c r="F1" s="434"/>
      <c r="G1" s="435" t="s">
        <v>82</v>
      </c>
      <c r="H1" s="435"/>
      <c r="I1" s="435"/>
      <c r="J1" s="435"/>
      <c r="K1" s="435"/>
    </row>
    <row r="2" spans="1:24" ht="14.5" x14ac:dyDescent="0.35">
      <c r="A2" s="117" t="s">
        <v>83</v>
      </c>
      <c r="B2" s="117" t="s">
        <v>15</v>
      </c>
      <c r="C2" s="117" t="s">
        <v>84</v>
      </c>
      <c r="D2" s="117" t="s">
        <v>85</v>
      </c>
      <c r="E2" s="120" t="s">
        <v>86</v>
      </c>
      <c r="F2" s="120" t="s">
        <v>87</v>
      </c>
      <c r="G2" s="120" t="s">
        <v>88</v>
      </c>
      <c r="H2" s="120" t="s">
        <v>89</v>
      </c>
      <c r="I2" s="120" t="s">
        <v>90</v>
      </c>
      <c r="J2" s="120" t="s">
        <v>91</v>
      </c>
      <c r="K2" s="120" t="s">
        <v>92</v>
      </c>
      <c r="L2"/>
      <c r="M2"/>
      <c r="N2"/>
      <c r="O2"/>
      <c r="P2"/>
      <c r="Q2"/>
      <c r="R2"/>
      <c r="S2"/>
      <c r="T2"/>
      <c r="U2"/>
      <c r="V2"/>
      <c r="W2"/>
      <c r="X2"/>
    </row>
    <row r="3" spans="1:24" ht="14.5" x14ac:dyDescent="0.35">
      <c r="A3" s="66">
        <f>'AÉREO REGULAR'!U10</f>
        <v>0</v>
      </c>
      <c r="B3" s="116">
        <f>'AÉREO REGULAR'!$F$9</f>
        <v>0</v>
      </c>
      <c r="C3" s="117">
        <f>'AÉREO REGULAR'!G9</f>
        <v>0</v>
      </c>
      <c r="D3" s="118">
        <f>IF('AÉREO REGULAR'!$A$7=0,'AÉREO REGULAR'!H11,IF('AÉREO REGULAR'!$A$7=1,'AÉREO REGULAR'!H10,'AÉREO REGULAR'!H9))</f>
        <v>0</v>
      </c>
      <c r="E3" s="119">
        <f>'AÉREO REGULAR'!$I$9</f>
        <v>0</v>
      </c>
      <c r="F3" s="119">
        <f>IF('AÉREO REGULAR'!$A$7=0,'AÉREO REGULAR'!J11,IF('AÉREO REGULAR'!$A$7=1,'AÉREO REGULAR'!J10,'AÉREO REGULAR'!J9))</f>
        <v>0</v>
      </c>
      <c r="G3" s="122">
        <f>'AÉREO REGULAR'!F13</f>
        <v>0</v>
      </c>
      <c r="H3" s="123">
        <f>'AÉREO REGULAR'!$G$13</f>
        <v>0</v>
      </c>
      <c r="I3" s="120">
        <f>IF('AÉREO REGULAR'!$A$8=0,'AÉREO REGULAR'!H15,IF('AÉREO REGULAR'!$A$8=1,'AÉREO REGULAR'!H14,'AÉREO REGULAR'!H13))</f>
        <v>0</v>
      </c>
      <c r="J3" s="119">
        <f>'AÉREO REGULAR'!I13</f>
        <v>0</v>
      </c>
      <c r="K3" s="119">
        <f>IF('AÉREO REGULAR'!$A$8=0,'AÉREO REGULAR'!J15,IF('AÉREO REGULAR'!$A$8=1,'AÉREO REGULAR'!J14,'AÉREO REGULAR'!J13))</f>
        <v>0</v>
      </c>
      <c r="L3"/>
      <c r="M3"/>
      <c r="N3"/>
      <c r="O3"/>
      <c r="P3"/>
      <c r="Q3"/>
      <c r="R3"/>
      <c r="S3"/>
      <c r="T3"/>
      <c r="U3"/>
      <c r="V3"/>
      <c r="W3"/>
      <c r="X3"/>
    </row>
    <row r="4" spans="1:24" x14ac:dyDescent="0.3">
      <c r="A4" s="66">
        <f>'AÉREO REGULAR'!U11</f>
        <v>0</v>
      </c>
      <c r="B4" s="116">
        <f>'AÉREO REGULAR'!$F$9</f>
        <v>0</v>
      </c>
      <c r="C4" s="117">
        <f>'AÉREO REGULAR'!$G$9</f>
        <v>0</v>
      </c>
      <c r="D4" s="118">
        <f>$D$3</f>
        <v>0</v>
      </c>
      <c r="E4" s="121">
        <f>'AÉREO REGULAR'!$I$9</f>
        <v>0</v>
      </c>
      <c r="F4" s="119">
        <f t="shared" ref="F4:F12" si="0">F3</f>
        <v>0</v>
      </c>
      <c r="G4" s="122">
        <f t="shared" ref="G4:G12" si="1">G3</f>
        <v>0</v>
      </c>
      <c r="H4" s="123">
        <f>'AÉREO REGULAR'!$G$13</f>
        <v>0</v>
      </c>
      <c r="I4" s="120">
        <f>I3</f>
        <v>0</v>
      </c>
      <c r="J4" s="119">
        <f>J3</f>
        <v>0</v>
      </c>
      <c r="K4" s="119">
        <f>K3</f>
        <v>0</v>
      </c>
    </row>
    <row r="5" spans="1:24" x14ac:dyDescent="0.3">
      <c r="A5" s="66">
        <f>'AÉREO REGULAR'!U12</f>
        <v>0</v>
      </c>
      <c r="B5" s="116">
        <f>'AÉREO REGULAR'!$F$9</f>
        <v>0</v>
      </c>
      <c r="C5" s="117">
        <f>'AÉREO REGULAR'!$G$9</f>
        <v>0</v>
      </c>
      <c r="D5" s="118">
        <f t="shared" ref="D5:D12" si="2">$D$3</f>
        <v>0</v>
      </c>
      <c r="E5" s="121">
        <f>'AÉREO REGULAR'!$I$9</f>
        <v>0</v>
      </c>
      <c r="F5" s="119">
        <f t="shared" si="0"/>
        <v>0</v>
      </c>
      <c r="G5" s="122">
        <f t="shared" si="1"/>
        <v>0</v>
      </c>
      <c r="H5" s="123">
        <f>'AÉREO REGULAR'!$G$13</f>
        <v>0</v>
      </c>
      <c r="I5" s="120">
        <f t="shared" ref="I5:I12" si="3">I4</f>
        <v>0</v>
      </c>
      <c r="J5" s="119">
        <f t="shared" ref="J5:J12" si="4">J4</f>
        <v>0</v>
      </c>
      <c r="K5" s="119">
        <f t="shared" ref="K5:K12" si="5">K4</f>
        <v>0</v>
      </c>
    </row>
    <row r="6" spans="1:24" x14ac:dyDescent="0.3">
      <c r="A6" s="66">
        <f>'AÉREO REGULAR'!U13</f>
        <v>0</v>
      </c>
      <c r="B6" s="116">
        <f>'AÉREO REGULAR'!$F$9</f>
        <v>0</v>
      </c>
      <c r="C6" s="117">
        <f>'AÉREO REGULAR'!$G$9</f>
        <v>0</v>
      </c>
      <c r="D6" s="118">
        <f t="shared" si="2"/>
        <v>0</v>
      </c>
      <c r="E6" s="121">
        <f>'AÉREO REGULAR'!$I$9</f>
        <v>0</v>
      </c>
      <c r="F6" s="119">
        <f t="shared" si="0"/>
        <v>0</v>
      </c>
      <c r="G6" s="122">
        <f t="shared" si="1"/>
        <v>0</v>
      </c>
      <c r="H6" s="123">
        <f>'AÉREO REGULAR'!$G$13</f>
        <v>0</v>
      </c>
      <c r="I6" s="120">
        <f t="shared" si="3"/>
        <v>0</v>
      </c>
      <c r="J6" s="119">
        <f t="shared" si="4"/>
        <v>0</v>
      </c>
      <c r="K6" s="119">
        <f t="shared" si="5"/>
        <v>0</v>
      </c>
    </row>
    <row r="7" spans="1:24" x14ac:dyDescent="0.3">
      <c r="A7" s="66">
        <f>'AÉREO REGULAR'!U14</f>
        <v>0</v>
      </c>
      <c r="B7" s="116">
        <f>'AÉREO REGULAR'!$F$9</f>
        <v>0</v>
      </c>
      <c r="C7" s="117">
        <f>'AÉREO REGULAR'!$G$9</f>
        <v>0</v>
      </c>
      <c r="D7" s="118">
        <f t="shared" si="2"/>
        <v>0</v>
      </c>
      <c r="E7" s="121">
        <f>'AÉREO REGULAR'!$I$9</f>
        <v>0</v>
      </c>
      <c r="F7" s="119">
        <f t="shared" si="0"/>
        <v>0</v>
      </c>
      <c r="G7" s="122">
        <f t="shared" si="1"/>
        <v>0</v>
      </c>
      <c r="H7" s="123">
        <f>'AÉREO REGULAR'!$G$13</f>
        <v>0</v>
      </c>
      <c r="I7" s="120">
        <f t="shared" si="3"/>
        <v>0</v>
      </c>
      <c r="J7" s="119">
        <f t="shared" si="4"/>
        <v>0</v>
      </c>
      <c r="K7" s="119">
        <f t="shared" si="5"/>
        <v>0</v>
      </c>
    </row>
    <row r="8" spans="1:24" x14ac:dyDescent="0.3">
      <c r="A8" s="66">
        <f>'AÉREO REGULAR'!U15</f>
        <v>0</v>
      </c>
      <c r="B8" s="116">
        <f>'AÉREO REGULAR'!$F$9</f>
        <v>0</v>
      </c>
      <c r="C8" s="117">
        <f>'AÉREO REGULAR'!$G$9</f>
        <v>0</v>
      </c>
      <c r="D8" s="118">
        <f t="shared" si="2"/>
        <v>0</v>
      </c>
      <c r="E8" s="121">
        <f>'AÉREO REGULAR'!$I$9</f>
        <v>0</v>
      </c>
      <c r="F8" s="119">
        <f t="shared" si="0"/>
        <v>0</v>
      </c>
      <c r="G8" s="122">
        <f t="shared" si="1"/>
        <v>0</v>
      </c>
      <c r="H8" s="123">
        <f>'AÉREO REGULAR'!$G$13</f>
        <v>0</v>
      </c>
      <c r="I8" s="120">
        <f t="shared" si="3"/>
        <v>0</v>
      </c>
      <c r="J8" s="119">
        <f t="shared" si="4"/>
        <v>0</v>
      </c>
      <c r="K8" s="119">
        <f t="shared" si="5"/>
        <v>0</v>
      </c>
    </row>
    <row r="9" spans="1:24" x14ac:dyDescent="0.3">
      <c r="A9" s="66">
        <f>'AÉREO REGULAR'!U16</f>
        <v>0</v>
      </c>
      <c r="B9" s="116">
        <f>'AÉREO REGULAR'!$F$9</f>
        <v>0</v>
      </c>
      <c r="C9" s="117">
        <f>'AÉREO REGULAR'!$G$9</f>
        <v>0</v>
      </c>
      <c r="D9" s="118">
        <f t="shared" si="2"/>
        <v>0</v>
      </c>
      <c r="E9" s="121">
        <f>'AÉREO REGULAR'!$I$9</f>
        <v>0</v>
      </c>
      <c r="F9" s="119">
        <f t="shared" si="0"/>
        <v>0</v>
      </c>
      <c r="G9" s="122">
        <f t="shared" si="1"/>
        <v>0</v>
      </c>
      <c r="H9" s="123">
        <f>'AÉREO REGULAR'!$G$13</f>
        <v>0</v>
      </c>
      <c r="I9" s="120">
        <f t="shared" si="3"/>
        <v>0</v>
      </c>
      <c r="J9" s="119">
        <f t="shared" si="4"/>
        <v>0</v>
      </c>
      <c r="K9" s="119">
        <f t="shared" si="5"/>
        <v>0</v>
      </c>
    </row>
    <row r="10" spans="1:24" x14ac:dyDescent="0.3">
      <c r="A10" s="66">
        <f>'AÉREO REGULAR'!U17</f>
        <v>0</v>
      </c>
      <c r="B10" s="116">
        <f>'AÉREO REGULAR'!$F$9</f>
        <v>0</v>
      </c>
      <c r="C10" s="117">
        <f>'AÉREO REGULAR'!$G$9</f>
        <v>0</v>
      </c>
      <c r="D10" s="118">
        <f t="shared" si="2"/>
        <v>0</v>
      </c>
      <c r="E10" s="121">
        <f>'AÉREO REGULAR'!$I$9</f>
        <v>0</v>
      </c>
      <c r="F10" s="119">
        <f t="shared" si="0"/>
        <v>0</v>
      </c>
      <c r="G10" s="122">
        <f t="shared" si="1"/>
        <v>0</v>
      </c>
      <c r="H10" s="123">
        <f>'AÉREO REGULAR'!$G$13</f>
        <v>0</v>
      </c>
      <c r="I10" s="120">
        <f t="shared" si="3"/>
        <v>0</v>
      </c>
      <c r="J10" s="119">
        <f t="shared" si="4"/>
        <v>0</v>
      </c>
      <c r="K10" s="119">
        <f t="shared" si="5"/>
        <v>0</v>
      </c>
    </row>
    <row r="11" spans="1:24" x14ac:dyDescent="0.3">
      <c r="A11" s="66">
        <f>'AÉREO REGULAR'!U18</f>
        <v>0</v>
      </c>
      <c r="B11" s="116">
        <f>'AÉREO REGULAR'!$F$9</f>
        <v>0</v>
      </c>
      <c r="C11" s="117">
        <f>'AÉREO REGULAR'!$G$9</f>
        <v>0</v>
      </c>
      <c r="D11" s="118">
        <f t="shared" si="2"/>
        <v>0</v>
      </c>
      <c r="E11" s="121">
        <f>'AÉREO REGULAR'!$I$9</f>
        <v>0</v>
      </c>
      <c r="F11" s="119">
        <f t="shared" si="0"/>
        <v>0</v>
      </c>
      <c r="G11" s="122">
        <f t="shared" si="1"/>
        <v>0</v>
      </c>
      <c r="H11" s="123">
        <f>'AÉREO REGULAR'!$G$13</f>
        <v>0</v>
      </c>
      <c r="I11" s="120">
        <f t="shared" si="3"/>
        <v>0</v>
      </c>
      <c r="J11" s="119">
        <f t="shared" si="4"/>
        <v>0</v>
      </c>
      <c r="K11" s="119">
        <f t="shared" si="5"/>
        <v>0</v>
      </c>
    </row>
    <row r="12" spans="1:24" hidden="1" x14ac:dyDescent="0.3">
      <c r="A12" s="66">
        <f>'AÉREO REGULAR'!U19</f>
        <v>0</v>
      </c>
      <c r="B12" s="116">
        <f>'AÉREO REGULAR'!$F$9</f>
        <v>0</v>
      </c>
      <c r="C12" s="117">
        <f>'AÉREO REGULAR'!$G$9</f>
        <v>0</v>
      </c>
      <c r="D12" s="118">
        <f t="shared" si="2"/>
        <v>0</v>
      </c>
      <c r="E12" s="121">
        <f>'AÉREO REGULAR'!$I$9</f>
        <v>0</v>
      </c>
      <c r="F12" s="119">
        <f t="shared" si="0"/>
        <v>0</v>
      </c>
      <c r="G12" s="122">
        <f t="shared" si="1"/>
        <v>0</v>
      </c>
      <c r="H12" s="123">
        <f>'AÉREO REGULAR'!$G$13</f>
        <v>0</v>
      </c>
      <c r="I12" s="120">
        <f t="shared" si="3"/>
        <v>0</v>
      </c>
      <c r="J12" s="119">
        <f t="shared" si="4"/>
        <v>0</v>
      </c>
      <c r="K12" s="119">
        <f t="shared" si="5"/>
        <v>0</v>
      </c>
    </row>
    <row r="13" spans="1:24" ht="14.5" x14ac:dyDescent="0.35">
      <c r="A13" s="66">
        <f>'AÉREO REGULAR'!U25</f>
        <v>0</v>
      </c>
      <c r="B13" s="116">
        <f>'AÉREO REGULAR'!$F$24</f>
        <v>0</v>
      </c>
      <c r="C13" s="117">
        <f>'AÉREO REGULAR'!$G$24</f>
        <v>0</v>
      </c>
      <c r="D13" s="118">
        <f>IF('AÉREO REGULAR'!$A$22=0,'AÉREO REGULAR'!H26,IF('AÉREO REGULAR'!$A$22=1,'AÉREO REGULAR'!H25,'AÉREO REGULAR'!H24))</f>
        <v>0</v>
      </c>
      <c r="E13" s="119">
        <f>'AÉREO REGULAR'!$I$24</f>
        <v>0</v>
      </c>
      <c r="F13" s="149">
        <f>IF('AÉREO REGULAR'!$A$22=0,'AÉREO REGULAR'!J26,IF('AÉREO REGULAR'!$A$22=1,'AÉREO REGULAR'!J25,'AÉREO REGULAR'!J24))</f>
        <v>0</v>
      </c>
      <c r="G13" s="122">
        <f>'AÉREO REGULAR'!$F$28</f>
        <v>0</v>
      </c>
      <c r="H13" s="123">
        <f>'AÉREO REGULAR'!$G$28</f>
        <v>0</v>
      </c>
      <c r="I13" s="120">
        <f>IF('AÉREO REGULAR'!$A$23=0,'AÉREO REGULAR'!H30,IF('AÉREO REGULAR'!$A$23=1,'AÉREO REGULAR'!H29,'AÉREO REGULAR'!H28))</f>
        <v>0</v>
      </c>
      <c r="J13" s="119">
        <f>'AÉREO REGULAR'!I28</f>
        <v>0</v>
      </c>
      <c r="K13" s="119">
        <f>IF('AÉREO REGULAR'!$A$23=0,'AÉREO REGULAR'!J30,IF('AÉREO REGULAR'!$A$23=1,'AÉREO REGULAR'!J29,'AÉREO REGULAR'!J28))</f>
        <v>0</v>
      </c>
    </row>
    <row r="14" spans="1:24" x14ac:dyDescent="0.3">
      <c r="A14" s="66">
        <f>'AÉREO REGULAR'!U26</f>
        <v>0</v>
      </c>
      <c r="B14" s="116">
        <f>'AÉREO REGULAR'!$F$24</f>
        <v>0</v>
      </c>
      <c r="C14" s="117">
        <f>'AÉREO REGULAR'!$G$24</f>
        <v>0</v>
      </c>
      <c r="D14" s="118">
        <f>$D$13</f>
        <v>0</v>
      </c>
      <c r="E14" s="119">
        <f>'AÉREO REGULAR'!$I$24</f>
        <v>0</v>
      </c>
      <c r="F14" s="119">
        <f>$F$13</f>
        <v>0</v>
      </c>
      <c r="G14" s="122">
        <f>'AÉREO REGULAR'!$F$28</f>
        <v>0</v>
      </c>
      <c r="H14" s="123">
        <f>'AÉREO REGULAR'!$G$28</f>
        <v>0</v>
      </c>
      <c r="I14" s="120">
        <f>$I$13</f>
        <v>0</v>
      </c>
      <c r="J14" s="119">
        <f>$J$13</f>
        <v>0</v>
      </c>
      <c r="K14" s="119">
        <f>$K$13</f>
        <v>0</v>
      </c>
    </row>
    <row r="15" spans="1:24" x14ac:dyDescent="0.3">
      <c r="A15" s="66">
        <f>'AÉREO REGULAR'!U27</f>
        <v>0</v>
      </c>
      <c r="B15" s="116">
        <f>'AÉREO REGULAR'!$F$24</f>
        <v>0</v>
      </c>
      <c r="C15" s="117">
        <f>'AÉREO REGULAR'!$G$24</f>
        <v>0</v>
      </c>
      <c r="D15" s="118">
        <f t="shared" ref="D15:D22" si="6">$D$13</f>
        <v>0</v>
      </c>
      <c r="E15" s="119">
        <f>'AÉREO REGULAR'!$I$24</f>
        <v>0</v>
      </c>
      <c r="F15" s="119">
        <f t="shared" ref="F15:F22" si="7">$F$13</f>
        <v>0</v>
      </c>
      <c r="G15" s="122">
        <f>'AÉREO REGULAR'!$F$28</f>
        <v>0</v>
      </c>
      <c r="H15" s="123">
        <f>'AÉREO REGULAR'!$G$28</f>
        <v>0</v>
      </c>
      <c r="I15" s="120">
        <f t="shared" ref="I15:I22" si="8">$I$13</f>
        <v>0</v>
      </c>
      <c r="J15" s="119">
        <f t="shared" ref="J15:J22" si="9">$J$13</f>
        <v>0</v>
      </c>
      <c r="K15" s="119">
        <f t="shared" ref="K15:K22" si="10">$K$13</f>
        <v>0</v>
      </c>
    </row>
    <row r="16" spans="1:24" x14ac:dyDescent="0.3">
      <c r="A16" s="66">
        <f>'AÉREO REGULAR'!U28</f>
        <v>0</v>
      </c>
      <c r="B16" s="116">
        <f>'AÉREO REGULAR'!$F$24</f>
        <v>0</v>
      </c>
      <c r="C16" s="117">
        <f>'AÉREO REGULAR'!$G$24</f>
        <v>0</v>
      </c>
      <c r="D16" s="118">
        <f t="shared" si="6"/>
        <v>0</v>
      </c>
      <c r="E16" s="119">
        <f>'AÉREO REGULAR'!$I$24</f>
        <v>0</v>
      </c>
      <c r="F16" s="119">
        <f t="shared" si="7"/>
        <v>0</v>
      </c>
      <c r="G16" s="122">
        <f>'AÉREO REGULAR'!$F$28</f>
        <v>0</v>
      </c>
      <c r="H16" s="123">
        <f>'AÉREO REGULAR'!$G$28</f>
        <v>0</v>
      </c>
      <c r="I16" s="120">
        <f t="shared" si="8"/>
        <v>0</v>
      </c>
      <c r="J16" s="119">
        <f t="shared" si="9"/>
        <v>0</v>
      </c>
      <c r="K16" s="119">
        <f t="shared" si="10"/>
        <v>0</v>
      </c>
    </row>
    <row r="17" spans="1:11" x14ac:dyDescent="0.3">
      <c r="A17" s="66">
        <f>'AÉREO REGULAR'!U29</f>
        <v>0</v>
      </c>
      <c r="B17" s="116">
        <f>'AÉREO REGULAR'!$F$24</f>
        <v>0</v>
      </c>
      <c r="C17" s="117">
        <f>'AÉREO REGULAR'!$G$24</f>
        <v>0</v>
      </c>
      <c r="D17" s="118">
        <f t="shared" si="6"/>
        <v>0</v>
      </c>
      <c r="E17" s="119">
        <f>'AÉREO REGULAR'!$I$24</f>
        <v>0</v>
      </c>
      <c r="F17" s="119">
        <f t="shared" si="7"/>
        <v>0</v>
      </c>
      <c r="G17" s="122">
        <f>'AÉREO REGULAR'!$F$28</f>
        <v>0</v>
      </c>
      <c r="H17" s="123">
        <f>'AÉREO REGULAR'!$G$28</f>
        <v>0</v>
      </c>
      <c r="I17" s="120">
        <f t="shared" si="8"/>
        <v>0</v>
      </c>
      <c r="J17" s="119">
        <f t="shared" si="9"/>
        <v>0</v>
      </c>
      <c r="K17" s="119">
        <f t="shared" si="10"/>
        <v>0</v>
      </c>
    </row>
    <row r="18" spans="1:11" x14ac:dyDescent="0.3">
      <c r="A18" s="66">
        <f>'AÉREO REGULAR'!U30</f>
        <v>0</v>
      </c>
      <c r="B18" s="116">
        <f>'AÉREO REGULAR'!$F$24</f>
        <v>0</v>
      </c>
      <c r="C18" s="117">
        <f>'AÉREO REGULAR'!$G$24</f>
        <v>0</v>
      </c>
      <c r="D18" s="118">
        <f t="shared" si="6"/>
        <v>0</v>
      </c>
      <c r="E18" s="119">
        <f>'AÉREO REGULAR'!$I$24</f>
        <v>0</v>
      </c>
      <c r="F18" s="119">
        <f t="shared" si="7"/>
        <v>0</v>
      </c>
      <c r="G18" s="122">
        <f>'AÉREO REGULAR'!$F$28</f>
        <v>0</v>
      </c>
      <c r="H18" s="123">
        <f>'AÉREO REGULAR'!$G$28</f>
        <v>0</v>
      </c>
      <c r="I18" s="120">
        <f t="shared" si="8"/>
        <v>0</v>
      </c>
      <c r="J18" s="119">
        <f t="shared" si="9"/>
        <v>0</v>
      </c>
      <c r="K18" s="119">
        <f t="shared" si="10"/>
        <v>0</v>
      </c>
    </row>
    <row r="19" spans="1:11" x14ac:dyDescent="0.3">
      <c r="A19" s="66">
        <f>'AÉREO REGULAR'!U31</f>
        <v>0</v>
      </c>
      <c r="B19" s="116">
        <f>'AÉREO REGULAR'!$F$24</f>
        <v>0</v>
      </c>
      <c r="C19" s="117">
        <f>'AÉREO REGULAR'!$G$24</f>
        <v>0</v>
      </c>
      <c r="D19" s="118">
        <f t="shared" si="6"/>
        <v>0</v>
      </c>
      <c r="E19" s="119">
        <f>'AÉREO REGULAR'!$I$24</f>
        <v>0</v>
      </c>
      <c r="F19" s="119">
        <f t="shared" si="7"/>
        <v>0</v>
      </c>
      <c r="G19" s="122">
        <f>'AÉREO REGULAR'!$F$28</f>
        <v>0</v>
      </c>
      <c r="H19" s="123">
        <f>'AÉREO REGULAR'!$G$28</f>
        <v>0</v>
      </c>
      <c r="I19" s="120">
        <f t="shared" si="8"/>
        <v>0</v>
      </c>
      <c r="J19" s="119">
        <f t="shared" si="9"/>
        <v>0</v>
      </c>
      <c r="K19" s="119">
        <f t="shared" si="10"/>
        <v>0</v>
      </c>
    </row>
    <row r="20" spans="1:11" x14ac:dyDescent="0.3">
      <c r="A20" s="66">
        <f>'AÉREO REGULAR'!U32</f>
        <v>0</v>
      </c>
      <c r="B20" s="116">
        <f>'AÉREO REGULAR'!$F$24</f>
        <v>0</v>
      </c>
      <c r="C20" s="117">
        <f>'AÉREO REGULAR'!$G$24</f>
        <v>0</v>
      </c>
      <c r="D20" s="118">
        <f t="shared" si="6"/>
        <v>0</v>
      </c>
      <c r="E20" s="119">
        <f>'AÉREO REGULAR'!$I$24</f>
        <v>0</v>
      </c>
      <c r="F20" s="119">
        <f t="shared" si="7"/>
        <v>0</v>
      </c>
      <c r="G20" s="122">
        <f>'AÉREO REGULAR'!$F$28</f>
        <v>0</v>
      </c>
      <c r="H20" s="123">
        <f>'AÉREO REGULAR'!$G$28</f>
        <v>0</v>
      </c>
      <c r="I20" s="120">
        <f t="shared" si="8"/>
        <v>0</v>
      </c>
      <c r="J20" s="119">
        <f t="shared" si="9"/>
        <v>0</v>
      </c>
      <c r="K20" s="119">
        <f t="shared" si="10"/>
        <v>0</v>
      </c>
    </row>
    <row r="21" spans="1:11" x14ac:dyDescent="0.3">
      <c r="A21" s="66">
        <f>'AÉREO REGULAR'!U33</f>
        <v>0</v>
      </c>
      <c r="B21" s="116">
        <f>'AÉREO REGULAR'!$F$24</f>
        <v>0</v>
      </c>
      <c r="C21" s="117">
        <f>'AÉREO REGULAR'!$G$24</f>
        <v>0</v>
      </c>
      <c r="D21" s="118">
        <f t="shared" si="6"/>
        <v>0</v>
      </c>
      <c r="E21" s="119">
        <f>'AÉREO REGULAR'!$I$24</f>
        <v>0</v>
      </c>
      <c r="F21" s="119">
        <f t="shared" si="7"/>
        <v>0</v>
      </c>
      <c r="G21" s="122">
        <f>'AÉREO REGULAR'!$F$28</f>
        <v>0</v>
      </c>
      <c r="H21" s="123">
        <f>'AÉREO REGULAR'!$G$28</f>
        <v>0</v>
      </c>
      <c r="I21" s="120">
        <f t="shared" si="8"/>
        <v>0</v>
      </c>
      <c r="J21" s="119">
        <f t="shared" si="9"/>
        <v>0</v>
      </c>
      <c r="K21" s="119">
        <f t="shared" si="10"/>
        <v>0</v>
      </c>
    </row>
    <row r="22" spans="1:11" x14ac:dyDescent="0.3">
      <c r="A22" s="66">
        <f>'AÉREO REGULAR'!U34</f>
        <v>0</v>
      </c>
      <c r="B22" s="116">
        <f>'AÉREO REGULAR'!$F$24</f>
        <v>0</v>
      </c>
      <c r="C22" s="117">
        <f>'AÉREO REGULAR'!$G$24</f>
        <v>0</v>
      </c>
      <c r="D22" s="118">
        <f t="shared" si="6"/>
        <v>0</v>
      </c>
      <c r="E22" s="119">
        <f>'AÉREO REGULAR'!$I$24</f>
        <v>0</v>
      </c>
      <c r="F22" s="119">
        <f t="shared" si="7"/>
        <v>0</v>
      </c>
      <c r="G22" s="122">
        <f>'AÉREO REGULAR'!$F$28</f>
        <v>0</v>
      </c>
      <c r="H22" s="123">
        <f>'AÉREO REGULAR'!$G$28</f>
        <v>0</v>
      </c>
      <c r="I22" s="120">
        <f t="shared" si="8"/>
        <v>0</v>
      </c>
      <c r="J22" s="119">
        <f t="shared" si="9"/>
        <v>0</v>
      </c>
      <c r="K22" s="119">
        <f t="shared" si="10"/>
        <v>0</v>
      </c>
    </row>
    <row r="23" spans="1:11" ht="14.5" x14ac:dyDescent="0.35">
      <c r="A23" s="66">
        <f>'AÉREO REGULAR'!U40</f>
        <v>0</v>
      </c>
      <c r="B23" s="116">
        <f>'AÉREO REGULAR'!$F$39</f>
        <v>0</v>
      </c>
      <c r="C23" s="117">
        <f>'AÉREO REGULAR'!$G$39</f>
        <v>0</v>
      </c>
      <c r="D23" s="118">
        <f>IF('AÉREO REGULAR'!$A$37=0,'AÉREO REGULAR'!H41,IF('AÉREO REGULAR'!$A$37=1,'AÉREO REGULAR'!H40,'AÉREO REGULAR'!H39))</f>
        <v>0</v>
      </c>
      <c r="E23" s="119">
        <f>'AÉREO REGULAR'!$I$39</f>
        <v>0</v>
      </c>
      <c r="F23" s="119">
        <f>IF('AÉREO REGULAR'!$A$37=0,'AÉREO REGULAR'!J41,IF('AÉREO REGULAR'!$A$37=1,'AÉREO REGULAR'!J40,'AÉREO REGULAR'!J39))</f>
        <v>0</v>
      </c>
      <c r="G23" s="122">
        <f>'AÉREO REGULAR'!$I$43</f>
        <v>0</v>
      </c>
      <c r="H23" s="123">
        <f>'AÉREO REGULAR'!$G$43</f>
        <v>0</v>
      </c>
      <c r="I23" s="120">
        <f>IF('AÉREO REGULAR'!$A$37=0,'AÉREO REGULAR'!H45,IF('AÉREO REGULAR'!$A$37=1,'AÉREO REGULAR'!H44,'AÉREO REGULAR'!H43))</f>
        <v>0</v>
      </c>
      <c r="J23" s="119">
        <f>'AÉREO REGULAR'!$I$43</f>
        <v>0</v>
      </c>
      <c r="K23" s="148">
        <f>IF('AÉREO REGULAR'!$A$37=0,'AÉREO REGULAR'!J45,IF('AÉREO REGULAR'!$A$37=1,'AÉREO REGULAR'!J44,'AÉREO REGULAR'!J43))</f>
        <v>0</v>
      </c>
    </row>
    <row r="24" spans="1:11" x14ac:dyDescent="0.3">
      <c r="A24" s="66">
        <f>'AÉREO REGULAR'!U41</f>
        <v>0</v>
      </c>
      <c r="B24" s="116">
        <f>'AÉREO REGULAR'!$F$39</f>
        <v>0</v>
      </c>
      <c r="C24" s="117">
        <f>'AÉREO REGULAR'!$G$39</f>
        <v>0</v>
      </c>
      <c r="D24" s="118">
        <f>$D$23</f>
        <v>0</v>
      </c>
      <c r="E24" s="119">
        <f>'AÉREO REGULAR'!$I$39</f>
        <v>0</v>
      </c>
      <c r="F24" s="119">
        <f>$F$23</f>
        <v>0</v>
      </c>
      <c r="G24" s="122">
        <f>'AÉREO REGULAR'!$I$43</f>
        <v>0</v>
      </c>
      <c r="H24" s="123">
        <f>'AÉREO REGULAR'!$G$43</f>
        <v>0</v>
      </c>
      <c r="I24" s="120">
        <f>$I$23</f>
        <v>0</v>
      </c>
      <c r="J24" s="119">
        <f>'AÉREO REGULAR'!$I$43</f>
        <v>0</v>
      </c>
      <c r="K24" s="119">
        <f>$K$23</f>
        <v>0</v>
      </c>
    </row>
    <row r="25" spans="1:11" x14ac:dyDescent="0.3">
      <c r="A25" s="66">
        <f>'AÉREO REGULAR'!U42</f>
        <v>0</v>
      </c>
      <c r="B25" s="116">
        <f>'AÉREO REGULAR'!$F$39</f>
        <v>0</v>
      </c>
      <c r="C25" s="117">
        <f>'AÉREO REGULAR'!$G$39</f>
        <v>0</v>
      </c>
      <c r="D25" s="118">
        <f t="shared" ref="D25:D32" si="11">$D$23</f>
        <v>0</v>
      </c>
      <c r="E25" s="119">
        <f>'AÉREO REGULAR'!$I$39</f>
        <v>0</v>
      </c>
      <c r="F25" s="119">
        <f t="shared" ref="F25:F32" si="12">$F$23</f>
        <v>0</v>
      </c>
      <c r="G25" s="122">
        <f>'AÉREO REGULAR'!$I$43</f>
        <v>0</v>
      </c>
      <c r="H25" s="123">
        <f>'AÉREO REGULAR'!$G$43</f>
        <v>0</v>
      </c>
      <c r="I25" s="120">
        <f t="shared" ref="I25:I32" si="13">$I$23</f>
        <v>0</v>
      </c>
      <c r="J25" s="119">
        <f>'AÉREO REGULAR'!$I$43</f>
        <v>0</v>
      </c>
      <c r="K25" s="119">
        <f t="shared" ref="K25:K32" si="14">$K$23</f>
        <v>0</v>
      </c>
    </row>
    <row r="26" spans="1:11" x14ac:dyDescent="0.3">
      <c r="A26" s="66">
        <f>'AÉREO REGULAR'!U43</f>
        <v>0</v>
      </c>
      <c r="B26" s="116">
        <f>'AÉREO REGULAR'!$F$39</f>
        <v>0</v>
      </c>
      <c r="C26" s="117">
        <f>'AÉREO REGULAR'!$G$39</f>
        <v>0</v>
      </c>
      <c r="D26" s="118">
        <f t="shared" si="11"/>
        <v>0</v>
      </c>
      <c r="E26" s="119">
        <f>'AÉREO REGULAR'!$I$39</f>
        <v>0</v>
      </c>
      <c r="F26" s="119">
        <f t="shared" si="12"/>
        <v>0</v>
      </c>
      <c r="G26" s="122">
        <f>'AÉREO REGULAR'!$I$43</f>
        <v>0</v>
      </c>
      <c r="H26" s="123">
        <f>'AÉREO REGULAR'!$G$43</f>
        <v>0</v>
      </c>
      <c r="I26" s="120">
        <f t="shared" si="13"/>
        <v>0</v>
      </c>
      <c r="J26" s="119">
        <f>'AÉREO REGULAR'!$I$43</f>
        <v>0</v>
      </c>
      <c r="K26" s="119">
        <f t="shared" si="14"/>
        <v>0</v>
      </c>
    </row>
    <row r="27" spans="1:11" x14ac:dyDescent="0.3">
      <c r="A27" s="66">
        <f>'AÉREO REGULAR'!U44</f>
        <v>0</v>
      </c>
      <c r="B27" s="116">
        <f>'AÉREO REGULAR'!$F$39</f>
        <v>0</v>
      </c>
      <c r="C27" s="117">
        <f>'AÉREO REGULAR'!$G$39</f>
        <v>0</v>
      </c>
      <c r="D27" s="118">
        <f t="shared" si="11"/>
        <v>0</v>
      </c>
      <c r="E27" s="119">
        <f>'AÉREO REGULAR'!$I$39</f>
        <v>0</v>
      </c>
      <c r="F27" s="119">
        <f t="shared" si="12"/>
        <v>0</v>
      </c>
      <c r="G27" s="122">
        <f>'AÉREO REGULAR'!$I$43</f>
        <v>0</v>
      </c>
      <c r="H27" s="123">
        <f>'AÉREO REGULAR'!$G$43</f>
        <v>0</v>
      </c>
      <c r="I27" s="120">
        <f t="shared" si="13"/>
        <v>0</v>
      </c>
      <c r="J27" s="119">
        <f>'AÉREO REGULAR'!$I$43</f>
        <v>0</v>
      </c>
      <c r="K27" s="119">
        <f t="shared" si="14"/>
        <v>0</v>
      </c>
    </row>
    <row r="28" spans="1:11" x14ac:dyDescent="0.3">
      <c r="A28" s="66">
        <f>'AÉREO REGULAR'!U45</f>
        <v>0</v>
      </c>
      <c r="B28" s="116">
        <f>'AÉREO REGULAR'!$F$39</f>
        <v>0</v>
      </c>
      <c r="C28" s="117">
        <f>'AÉREO REGULAR'!$G$39</f>
        <v>0</v>
      </c>
      <c r="D28" s="118">
        <f t="shared" si="11"/>
        <v>0</v>
      </c>
      <c r="E28" s="119">
        <f>'AÉREO REGULAR'!$I$39</f>
        <v>0</v>
      </c>
      <c r="F28" s="119">
        <f t="shared" si="12"/>
        <v>0</v>
      </c>
      <c r="G28" s="122">
        <f>'AÉREO REGULAR'!$I$43</f>
        <v>0</v>
      </c>
      <c r="H28" s="123">
        <f>'AÉREO REGULAR'!$G$43</f>
        <v>0</v>
      </c>
      <c r="I28" s="120">
        <f t="shared" si="13"/>
        <v>0</v>
      </c>
      <c r="J28" s="119">
        <f>'AÉREO REGULAR'!$I$43</f>
        <v>0</v>
      </c>
      <c r="K28" s="119">
        <f t="shared" si="14"/>
        <v>0</v>
      </c>
    </row>
    <row r="29" spans="1:11" x14ac:dyDescent="0.3">
      <c r="A29" s="66">
        <f>'AÉREO REGULAR'!U46</f>
        <v>0</v>
      </c>
      <c r="B29" s="116">
        <f>'AÉREO REGULAR'!$F$39</f>
        <v>0</v>
      </c>
      <c r="C29" s="117">
        <f>'AÉREO REGULAR'!$G$39</f>
        <v>0</v>
      </c>
      <c r="D29" s="118">
        <f t="shared" si="11"/>
        <v>0</v>
      </c>
      <c r="E29" s="119">
        <f>'AÉREO REGULAR'!$I$39</f>
        <v>0</v>
      </c>
      <c r="F29" s="119">
        <f t="shared" si="12"/>
        <v>0</v>
      </c>
      <c r="G29" s="122">
        <f>'AÉREO REGULAR'!$I$43</f>
        <v>0</v>
      </c>
      <c r="H29" s="123">
        <f>'AÉREO REGULAR'!$G$43</f>
        <v>0</v>
      </c>
      <c r="I29" s="120">
        <f t="shared" si="13"/>
        <v>0</v>
      </c>
      <c r="J29" s="119">
        <f>'AÉREO REGULAR'!$I$43</f>
        <v>0</v>
      </c>
      <c r="K29" s="119">
        <f t="shared" si="14"/>
        <v>0</v>
      </c>
    </row>
    <row r="30" spans="1:11" x14ac:dyDescent="0.3">
      <c r="A30" s="66">
        <f>'AÉREO REGULAR'!U47</f>
        <v>0</v>
      </c>
      <c r="B30" s="116">
        <f>'AÉREO REGULAR'!$F$39</f>
        <v>0</v>
      </c>
      <c r="C30" s="117">
        <f>'AÉREO REGULAR'!$G$39</f>
        <v>0</v>
      </c>
      <c r="D30" s="118">
        <f t="shared" si="11"/>
        <v>0</v>
      </c>
      <c r="E30" s="119">
        <f>'AÉREO REGULAR'!$I$39</f>
        <v>0</v>
      </c>
      <c r="F30" s="119">
        <f t="shared" si="12"/>
        <v>0</v>
      </c>
      <c r="G30" s="122">
        <f>'AÉREO REGULAR'!$I$43</f>
        <v>0</v>
      </c>
      <c r="H30" s="123">
        <f>'AÉREO REGULAR'!$G$43</f>
        <v>0</v>
      </c>
      <c r="I30" s="120">
        <f t="shared" si="13"/>
        <v>0</v>
      </c>
      <c r="J30" s="119">
        <f>'AÉREO REGULAR'!$I$43</f>
        <v>0</v>
      </c>
      <c r="K30" s="119">
        <f t="shared" si="14"/>
        <v>0</v>
      </c>
    </row>
    <row r="31" spans="1:11" x14ac:dyDescent="0.3">
      <c r="A31" s="66">
        <f>'AÉREO REGULAR'!U48</f>
        <v>0</v>
      </c>
      <c r="B31" s="116">
        <f>'AÉREO REGULAR'!$F$39</f>
        <v>0</v>
      </c>
      <c r="C31" s="117">
        <f>'AÉREO REGULAR'!$G$39</f>
        <v>0</v>
      </c>
      <c r="D31" s="118">
        <f t="shared" si="11"/>
        <v>0</v>
      </c>
      <c r="E31" s="119">
        <f>'AÉREO REGULAR'!$I$39</f>
        <v>0</v>
      </c>
      <c r="F31" s="119">
        <f t="shared" si="12"/>
        <v>0</v>
      </c>
      <c r="G31" s="122">
        <f>'AÉREO REGULAR'!$I$43</f>
        <v>0</v>
      </c>
      <c r="H31" s="123">
        <f>'AÉREO REGULAR'!$G$43</f>
        <v>0</v>
      </c>
      <c r="I31" s="120">
        <f t="shared" si="13"/>
        <v>0</v>
      </c>
      <c r="J31" s="119">
        <f>'AÉREO REGULAR'!$I$43</f>
        <v>0</v>
      </c>
      <c r="K31" s="119">
        <f t="shared" si="14"/>
        <v>0</v>
      </c>
    </row>
    <row r="32" spans="1:11" x14ac:dyDescent="0.3">
      <c r="A32" s="66">
        <f>'AÉREO REGULAR'!U49</f>
        <v>0</v>
      </c>
      <c r="B32" s="116">
        <f>'AÉREO REGULAR'!$F$39</f>
        <v>0</v>
      </c>
      <c r="C32" s="117">
        <f>'AÉREO REGULAR'!$G$39</f>
        <v>0</v>
      </c>
      <c r="D32" s="118">
        <f t="shared" si="11"/>
        <v>0</v>
      </c>
      <c r="E32" s="119">
        <f>'AÉREO REGULAR'!$I$39</f>
        <v>0</v>
      </c>
      <c r="F32" s="119">
        <f t="shared" si="12"/>
        <v>0</v>
      </c>
      <c r="G32" s="122">
        <f>'AÉREO REGULAR'!$I$43</f>
        <v>0</v>
      </c>
      <c r="H32" s="123">
        <f>'AÉREO REGULAR'!$G$43</f>
        <v>0</v>
      </c>
      <c r="I32" s="120">
        <f t="shared" si="13"/>
        <v>0</v>
      </c>
      <c r="J32" s="119">
        <f>'AÉREO REGULAR'!$I$43</f>
        <v>0</v>
      </c>
      <c r="K32" s="119">
        <f t="shared" si="14"/>
        <v>0</v>
      </c>
    </row>
    <row r="33" spans="1:11" ht="14.5" x14ac:dyDescent="0.35">
      <c r="A33" s="66">
        <f>'AÉREO REGULAR'!U55</f>
        <v>0</v>
      </c>
      <c r="B33" s="116">
        <f>'AÉREO REGULAR'!$F$54</f>
        <v>0</v>
      </c>
      <c r="C33" s="117">
        <f>'AÉREO REGULAR'!$G$54</f>
        <v>0</v>
      </c>
      <c r="D33" s="118">
        <f>IF('AÉREO REGULAR'!$A$52=0,'AÉREO REGULAR'!H56,IF('AÉREO REGULAR'!$A$52=1,'AÉREO REGULAR'!H55,'AÉREO REGULAR'!H54))</f>
        <v>0</v>
      </c>
      <c r="E33" s="119">
        <f>'AÉREO REGULAR'!$I$54</f>
        <v>0</v>
      </c>
      <c r="F33" s="119">
        <f>IF('AÉREO REGULAR'!$A$52=0,'AÉREO REGULAR'!J56,IF('AÉREO REGULAR'!$A$52=1,'AÉREO REGULAR'!J55,'AÉREO REGULAR'!J54))</f>
        <v>0</v>
      </c>
      <c r="G33" s="122">
        <f>'AÉREO REGULAR'!$F$58</f>
        <v>0</v>
      </c>
      <c r="H33" s="123">
        <f>'AÉREO REGULAR'!$G$58</f>
        <v>0</v>
      </c>
      <c r="I33" s="150">
        <f>IF('AÉREO REGULAR'!$A$53=0,'AÉREO REGULAR'!H60,IF('AÉREO REGULAR'!$A$53=1,'AÉREO REGULAR'!H59,'AÉREO REGULAR'!H58))</f>
        <v>0</v>
      </c>
      <c r="J33" s="119">
        <f>'AÉREO REGULAR'!$I$58</f>
        <v>0</v>
      </c>
      <c r="K33" s="148">
        <f>IF('AÉREO REGULAR'!$A$53=0,'AÉREO REGULAR'!J60,IF('AÉREO REGULAR'!$A$53=1,'AÉREO REGULAR'!J59,'AÉREO REGULAR'!J58))</f>
        <v>0</v>
      </c>
    </row>
    <row r="34" spans="1:11" x14ac:dyDescent="0.3">
      <c r="A34" s="66">
        <f>'AÉREO REGULAR'!U56</f>
        <v>0</v>
      </c>
      <c r="B34" s="116">
        <f>'AÉREO REGULAR'!$F$54</f>
        <v>0</v>
      </c>
      <c r="C34" s="117">
        <f>'AÉREO REGULAR'!$G$54</f>
        <v>0</v>
      </c>
      <c r="D34" s="118">
        <f>$D$33</f>
        <v>0</v>
      </c>
      <c r="E34" s="119">
        <f>'AÉREO REGULAR'!$I$54</f>
        <v>0</v>
      </c>
      <c r="F34" s="119">
        <f>$F$33</f>
        <v>0</v>
      </c>
      <c r="G34" s="122">
        <f>'AÉREO REGULAR'!$F$58</f>
        <v>0</v>
      </c>
      <c r="H34" s="123">
        <f>'AÉREO REGULAR'!$G$58</f>
        <v>0</v>
      </c>
      <c r="I34" s="120">
        <f>$I$33</f>
        <v>0</v>
      </c>
      <c r="J34" s="119">
        <f>'AÉREO REGULAR'!$I$58</f>
        <v>0</v>
      </c>
      <c r="K34" s="119">
        <f>$K$33</f>
        <v>0</v>
      </c>
    </row>
    <row r="35" spans="1:11" x14ac:dyDescent="0.3">
      <c r="A35" s="66">
        <f>'AÉREO REGULAR'!U57</f>
        <v>0</v>
      </c>
      <c r="B35" s="116">
        <f>'AÉREO REGULAR'!$F$54</f>
        <v>0</v>
      </c>
      <c r="C35" s="117">
        <f>'AÉREO REGULAR'!$G$54</f>
        <v>0</v>
      </c>
      <c r="D35" s="118">
        <f t="shared" ref="D35:D42" si="15">$D$33</f>
        <v>0</v>
      </c>
      <c r="E35" s="119">
        <f>'AÉREO REGULAR'!$I$54</f>
        <v>0</v>
      </c>
      <c r="F35" s="119">
        <f t="shared" ref="F35:F42" si="16">$F$33</f>
        <v>0</v>
      </c>
      <c r="G35" s="122">
        <f>'AÉREO REGULAR'!$F$58</f>
        <v>0</v>
      </c>
      <c r="H35" s="123">
        <f>'AÉREO REGULAR'!$G$58</f>
        <v>0</v>
      </c>
      <c r="I35" s="120">
        <f t="shared" ref="I35:I42" si="17">$I$33</f>
        <v>0</v>
      </c>
      <c r="J35" s="119">
        <f>'AÉREO REGULAR'!$I$58</f>
        <v>0</v>
      </c>
      <c r="K35" s="119">
        <f t="shared" ref="K35:K42" si="18">$K$33</f>
        <v>0</v>
      </c>
    </row>
    <row r="36" spans="1:11" hidden="1" x14ac:dyDescent="0.3">
      <c r="A36" s="66">
        <f>'AÉREO REGULAR'!U58</f>
        <v>0</v>
      </c>
      <c r="B36" s="116">
        <f>'AÉREO REGULAR'!$F$54</f>
        <v>0</v>
      </c>
      <c r="C36" s="117">
        <f>'AÉREO REGULAR'!$G$54</f>
        <v>0</v>
      </c>
      <c r="D36" s="118">
        <f t="shared" si="15"/>
        <v>0</v>
      </c>
      <c r="E36" s="119">
        <f>'AÉREO REGULAR'!$I$54</f>
        <v>0</v>
      </c>
      <c r="F36" s="119">
        <f t="shared" si="16"/>
        <v>0</v>
      </c>
      <c r="G36" s="122">
        <f>'AÉREO REGULAR'!$F$58</f>
        <v>0</v>
      </c>
      <c r="H36" s="123">
        <f>'AÉREO REGULAR'!$G$58</f>
        <v>0</v>
      </c>
      <c r="I36" s="120">
        <f t="shared" si="17"/>
        <v>0</v>
      </c>
      <c r="J36" s="119">
        <f>'AÉREO REGULAR'!$I$58</f>
        <v>0</v>
      </c>
      <c r="K36" s="119">
        <f t="shared" si="18"/>
        <v>0</v>
      </c>
    </row>
    <row r="37" spans="1:11" hidden="1" x14ac:dyDescent="0.3">
      <c r="A37" s="66">
        <f>'AÉREO REGULAR'!U59</f>
        <v>0</v>
      </c>
      <c r="B37" s="116">
        <f>'AÉREO REGULAR'!$F$54</f>
        <v>0</v>
      </c>
      <c r="C37" s="117">
        <f>'AÉREO REGULAR'!$G$54</f>
        <v>0</v>
      </c>
      <c r="D37" s="118">
        <f t="shared" si="15"/>
        <v>0</v>
      </c>
      <c r="E37" s="119">
        <f>'AÉREO REGULAR'!$I$54</f>
        <v>0</v>
      </c>
      <c r="F37" s="119">
        <f t="shared" si="16"/>
        <v>0</v>
      </c>
      <c r="G37" s="122">
        <f>'AÉREO REGULAR'!$F$58</f>
        <v>0</v>
      </c>
      <c r="H37" s="123">
        <f>'AÉREO REGULAR'!$G$58</f>
        <v>0</v>
      </c>
      <c r="I37" s="120">
        <f t="shared" si="17"/>
        <v>0</v>
      </c>
      <c r="J37" s="119">
        <f>'AÉREO REGULAR'!$I$58</f>
        <v>0</v>
      </c>
      <c r="K37" s="119">
        <f t="shared" si="18"/>
        <v>0</v>
      </c>
    </row>
    <row r="38" spans="1:11" hidden="1" x14ac:dyDescent="0.3">
      <c r="A38" s="66">
        <f>'AÉREO REGULAR'!U60</f>
        <v>0</v>
      </c>
      <c r="B38" s="116">
        <f>'AÉREO REGULAR'!$F$54</f>
        <v>0</v>
      </c>
      <c r="C38" s="117">
        <f>'AÉREO REGULAR'!$G$54</f>
        <v>0</v>
      </c>
      <c r="D38" s="118">
        <f t="shared" si="15"/>
        <v>0</v>
      </c>
      <c r="E38" s="119">
        <f>'AÉREO REGULAR'!$I$54</f>
        <v>0</v>
      </c>
      <c r="F38" s="119">
        <f t="shared" si="16"/>
        <v>0</v>
      </c>
      <c r="G38" s="122">
        <f>'AÉREO REGULAR'!$F$58</f>
        <v>0</v>
      </c>
      <c r="H38" s="123">
        <f>'AÉREO REGULAR'!$G$58</f>
        <v>0</v>
      </c>
      <c r="I38" s="120">
        <f t="shared" si="17"/>
        <v>0</v>
      </c>
      <c r="J38" s="119">
        <f>'AÉREO REGULAR'!$I$58</f>
        <v>0</v>
      </c>
      <c r="K38" s="119">
        <f t="shared" si="18"/>
        <v>0</v>
      </c>
    </row>
    <row r="39" spans="1:11" hidden="1" x14ac:dyDescent="0.3">
      <c r="A39" s="66">
        <f>'AÉREO REGULAR'!U61</f>
        <v>0</v>
      </c>
      <c r="B39" s="116">
        <f>'AÉREO REGULAR'!$F$54</f>
        <v>0</v>
      </c>
      <c r="C39" s="117">
        <f>'AÉREO REGULAR'!$G$54</f>
        <v>0</v>
      </c>
      <c r="D39" s="118">
        <f t="shared" si="15"/>
        <v>0</v>
      </c>
      <c r="E39" s="119">
        <f>'AÉREO REGULAR'!$I$54</f>
        <v>0</v>
      </c>
      <c r="F39" s="119">
        <f t="shared" si="16"/>
        <v>0</v>
      </c>
      <c r="G39" s="122">
        <f>'AÉREO REGULAR'!$F$58</f>
        <v>0</v>
      </c>
      <c r="H39" s="123">
        <f>'AÉREO REGULAR'!$G$58</f>
        <v>0</v>
      </c>
      <c r="I39" s="120">
        <f t="shared" si="17"/>
        <v>0</v>
      </c>
      <c r="J39" s="119">
        <f>'AÉREO REGULAR'!$I$58</f>
        <v>0</v>
      </c>
      <c r="K39" s="119">
        <f t="shared" si="18"/>
        <v>0</v>
      </c>
    </row>
    <row r="40" spans="1:11" hidden="1" x14ac:dyDescent="0.3">
      <c r="A40" s="66">
        <f>'AÉREO REGULAR'!U62</f>
        <v>0</v>
      </c>
      <c r="B40" s="116">
        <f>'AÉREO REGULAR'!$F$54</f>
        <v>0</v>
      </c>
      <c r="C40" s="117">
        <f>'AÉREO REGULAR'!$G$54</f>
        <v>0</v>
      </c>
      <c r="D40" s="118">
        <f t="shared" si="15"/>
        <v>0</v>
      </c>
      <c r="E40" s="119">
        <f>'AÉREO REGULAR'!$I$54</f>
        <v>0</v>
      </c>
      <c r="F40" s="119">
        <f t="shared" si="16"/>
        <v>0</v>
      </c>
      <c r="G40" s="122">
        <f>'AÉREO REGULAR'!$F$58</f>
        <v>0</v>
      </c>
      <c r="H40" s="123">
        <f>'AÉREO REGULAR'!$G$58</f>
        <v>0</v>
      </c>
      <c r="I40" s="120">
        <f t="shared" si="17"/>
        <v>0</v>
      </c>
      <c r="J40" s="119">
        <f>'AÉREO REGULAR'!$I$58</f>
        <v>0</v>
      </c>
      <c r="K40" s="119">
        <f t="shared" si="18"/>
        <v>0</v>
      </c>
    </row>
    <row r="41" spans="1:11" hidden="1" x14ac:dyDescent="0.3">
      <c r="A41" s="66">
        <f>'AÉREO REGULAR'!U63</f>
        <v>0</v>
      </c>
      <c r="B41" s="116">
        <f>'AÉREO REGULAR'!$F$54</f>
        <v>0</v>
      </c>
      <c r="C41" s="117">
        <f>'AÉREO REGULAR'!$G$54</f>
        <v>0</v>
      </c>
      <c r="D41" s="118">
        <f t="shared" si="15"/>
        <v>0</v>
      </c>
      <c r="E41" s="119">
        <f>'AÉREO REGULAR'!$I$54</f>
        <v>0</v>
      </c>
      <c r="F41" s="119">
        <f t="shared" si="16"/>
        <v>0</v>
      </c>
      <c r="G41" s="122">
        <f>'AÉREO REGULAR'!$F$58</f>
        <v>0</v>
      </c>
      <c r="H41" s="123">
        <f>'AÉREO REGULAR'!$G$58</f>
        <v>0</v>
      </c>
      <c r="I41" s="120">
        <f t="shared" si="17"/>
        <v>0</v>
      </c>
      <c r="J41" s="119">
        <f>'AÉREO REGULAR'!$I$58</f>
        <v>0</v>
      </c>
      <c r="K41" s="119">
        <f t="shared" si="18"/>
        <v>0</v>
      </c>
    </row>
    <row r="42" spans="1:11" hidden="1" x14ac:dyDescent="0.3">
      <c r="A42" s="66">
        <f>'AÉREO REGULAR'!U64</f>
        <v>0</v>
      </c>
      <c r="B42" s="116">
        <f>'AÉREO REGULAR'!$F$54</f>
        <v>0</v>
      </c>
      <c r="C42" s="117">
        <f>'AÉREO REGULAR'!$G$54</f>
        <v>0</v>
      </c>
      <c r="D42" s="118">
        <f t="shared" si="15"/>
        <v>0</v>
      </c>
      <c r="E42" s="119">
        <f>'AÉREO REGULAR'!$I$54</f>
        <v>0</v>
      </c>
      <c r="F42" s="119">
        <f t="shared" si="16"/>
        <v>0</v>
      </c>
      <c r="G42" s="122">
        <f>'AÉREO REGULAR'!$F$58</f>
        <v>0</v>
      </c>
      <c r="H42" s="123">
        <f>'AÉREO REGULAR'!$G$58</f>
        <v>0</v>
      </c>
      <c r="I42" s="120">
        <f t="shared" si="17"/>
        <v>0</v>
      </c>
      <c r="J42" s="119">
        <f>'AÉREO REGULAR'!$I$58</f>
        <v>0</v>
      </c>
      <c r="K42" s="119">
        <f t="shared" si="18"/>
        <v>0</v>
      </c>
    </row>
    <row r="43" spans="1:11" ht="14.5" x14ac:dyDescent="0.35">
      <c r="A43" s="66">
        <f>'AÉREO REGULAR'!U70</f>
        <v>0</v>
      </c>
      <c r="B43" s="116">
        <f>'AÉREO REGULAR'!$F$69</f>
        <v>0</v>
      </c>
      <c r="C43" s="117">
        <f>'AÉREO REGULAR'!$G$69</f>
        <v>0</v>
      </c>
      <c r="D43" s="150">
        <f>IF('AÉREO REGULAR'!$A$67=0,'AÉREO REGULAR'!H71,IF('AÉREO REGULAR'!$A$67=1,'AÉREO REGULAR'!H70,'AÉREO REGULAR'!H69))</f>
        <v>0</v>
      </c>
      <c r="E43" s="119">
        <f>'AÉREO REGULAR'!$I$69</f>
        <v>0</v>
      </c>
      <c r="F43" s="148">
        <f>IF('AÉREO REGULAR'!$A$67=0,'AÉREO REGULAR'!J71,IF('AÉREO REGULAR'!$A$67=1,'AÉREO REGULAR'!J70,'AÉREO REGULAR'!J69))</f>
        <v>0</v>
      </c>
      <c r="G43" s="122">
        <f>'AÉREO REGULAR'!$F$73</f>
        <v>0</v>
      </c>
      <c r="H43" s="123">
        <f>'AÉREO REGULAR'!$G$73</f>
        <v>0</v>
      </c>
      <c r="I43" s="150">
        <f>IF('AÉREO REGULAR'!$A$68=0,'AÉREO REGULAR'!H75,IF('AÉREO REGULAR'!$A$68=1,'AÉREO REGULAR'!H74,'AÉREO REGULAR'!H73))</f>
        <v>0</v>
      </c>
      <c r="J43" s="119">
        <f>'AÉREO REGULAR'!$I$73</f>
        <v>0</v>
      </c>
      <c r="K43" s="148">
        <f>IF('AÉREO REGULAR'!$A$68=0,'AÉREO REGULAR'!J75,IF('AÉREO REGULAR'!$A$68=1,'AÉREO REGULAR'!J74,'AÉREO REGULAR'!J73))</f>
        <v>0</v>
      </c>
    </row>
    <row r="44" spans="1:11" x14ac:dyDescent="0.3">
      <c r="A44" s="66">
        <f>'AÉREO REGULAR'!U71</f>
        <v>0</v>
      </c>
      <c r="B44" s="116">
        <f>'AÉREO REGULAR'!$F$69</f>
        <v>0</v>
      </c>
      <c r="C44" s="117">
        <f>'AÉREO REGULAR'!$G$69</f>
        <v>0</v>
      </c>
      <c r="D44" s="118">
        <f>$D$43</f>
        <v>0</v>
      </c>
      <c r="E44" s="119">
        <f>'AÉREO REGULAR'!$I$69</f>
        <v>0</v>
      </c>
      <c r="F44" s="119">
        <f>$F$43</f>
        <v>0</v>
      </c>
      <c r="G44" s="122">
        <f>'AÉREO REGULAR'!$F$73</f>
        <v>0</v>
      </c>
      <c r="H44" s="123">
        <f>'AÉREO REGULAR'!$G$73</f>
        <v>0</v>
      </c>
      <c r="I44" s="120">
        <f>$I$43</f>
        <v>0</v>
      </c>
      <c r="J44" s="119">
        <f>'AÉREO REGULAR'!$I$73</f>
        <v>0</v>
      </c>
      <c r="K44" s="119">
        <f>$K$43</f>
        <v>0</v>
      </c>
    </row>
    <row r="45" spans="1:11" x14ac:dyDescent="0.3">
      <c r="A45" s="66">
        <f>'AÉREO REGULAR'!U72</f>
        <v>0</v>
      </c>
      <c r="B45" s="116">
        <f>'AÉREO REGULAR'!$F$69</f>
        <v>0</v>
      </c>
      <c r="C45" s="117">
        <f>'AÉREO REGULAR'!$G$69</f>
        <v>0</v>
      </c>
      <c r="D45" s="118">
        <f t="shared" ref="D45:D52" si="19">$D$43</f>
        <v>0</v>
      </c>
      <c r="E45" s="119">
        <f>'AÉREO REGULAR'!$I$69</f>
        <v>0</v>
      </c>
      <c r="F45" s="119">
        <f t="shared" ref="F45:F52" si="20">$F$43</f>
        <v>0</v>
      </c>
      <c r="G45" s="122">
        <f>'AÉREO REGULAR'!$F$73</f>
        <v>0</v>
      </c>
      <c r="H45" s="123">
        <f>'AÉREO REGULAR'!$G$73</f>
        <v>0</v>
      </c>
      <c r="I45" s="120">
        <f t="shared" ref="I45:I52" si="21">$I$43</f>
        <v>0</v>
      </c>
      <c r="J45" s="119">
        <f>'AÉREO REGULAR'!$I$73</f>
        <v>0</v>
      </c>
      <c r="K45" s="119">
        <f t="shared" ref="K45:K52" si="22">$K$43</f>
        <v>0</v>
      </c>
    </row>
    <row r="46" spans="1:11" x14ac:dyDescent="0.3">
      <c r="A46" s="66">
        <f>'AÉREO REGULAR'!U73</f>
        <v>0</v>
      </c>
      <c r="B46" s="116">
        <f>'AÉREO REGULAR'!$F$69</f>
        <v>0</v>
      </c>
      <c r="C46" s="117">
        <f>'AÉREO REGULAR'!$G$69</f>
        <v>0</v>
      </c>
      <c r="D46" s="118">
        <f t="shared" si="19"/>
        <v>0</v>
      </c>
      <c r="E46" s="119">
        <f>'AÉREO REGULAR'!$I$69</f>
        <v>0</v>
      </c>
      <c r="F46" s="119">
        <f t="shared" si="20"/>
        <v>0</v>
      </c>
      <c r="G46" s="122">
        <f>'AÉREO REGULAR'!$F$73</f>
        <v>0</v>
      </c>
      <c r="H46" s="123">
        <f>'AÉREO REGULAR'!$G$73</f>
        <v>0</v>
      </c>
      <c r="I46" s="120">
        <f t="shared" si="21"/>
        <v>0</v>
      </c>
      <c r="J46" s="119">
        <f>'AÉREO REGULAR'!$I$73</f>
        <v>0</v>
      </c>
      <c r="K46" s="119">
        <f t="shared" si="22"/>
        <v>0</v>
      </c>
    </row>
    <row r="47" spans="1:11" x14ac:dyDescent="0.3">
      <c r="A47" s="66">
        <f>'AÉREO REGULAR'!U74</f>
        <v>0</v>
      </c>
      <c r="B47" s="116">
        <f>'AÉREO REGULAR'!$F$69</f>
        <v>0</v>
      </c>
      <c r="C47" s="117">
        <f>'AÉREO REGULAR'!$G$69</f>
        <v>0</v>
      </c>
      <c r="D47" s="118">
        <f t="shared" si="19"/>
        <v>0</v>
      </c>
      <c r="E47" s="119">
        <f>'AÉREO REGULAR'!$I$69</f>
        <v>0</v>
      </c>
      <c r="F47" s="119">
        <f t="shared" si="20"/>
        <v>0</v>
      </c>
      <c r="G47" s="122">
        <f>'AÉREO REGULAR'!$F$73</f>
        <v>0</v>
      </c>
      <c r="H47" s="123">
        <f>'AÉREO REGULAR'!$G$73</f>
        <v>0</v>
      </c>
      <c r="I47" s="120">
        <f t="shared" si="21"/>
        <v>0</v>
      </c>
      <c r="J47" s="119">
        <f>'AÉREO REGULAR'!$I$73</f>
        <v>0</v>
      </c>
      <c r="K47" s="119">
        <f t="shared" si="22"/>
        <v>0</v>
      </c>
    </row>
    <row r="48" spans="1:11" x14ac:dyDescent="0.3">
      <c r="A48" s="66">
        <f>'AÉREO REGULAR'!U75</f>
        <v>0</v>
      </c>
      <c r="B48" s="116">
        <f>'AÉREO REGULAR'!$F$69</f>
        <v>0</v>
      </c>
      <c r="C48" s="117">
        <f>'AÉREO REGULAR'!$G$69</f>
        <v>0</v>
      </c>
      <c r="D48" s="118">
        <f t="shared" si="19"/>
        <v>0</v>
      </c>
      <c r="E48" s="119">
        <f>'AÉREO REGULAR'!$I$69</f>
        <v>0</v>
      </c>
      <c r="F48" s="119">
        <f t="shared" si="20"/>
        <v>0</v>
      </c>
      <c r="G48" s="122">
        <f>'AÉREO REGULAR'!$F$73</f>
        <v>0</v>
      </c>
      <c r="H48" s="123">
        <f>'AÉREO REGULAR'!$G$73</f>
        <v>0</v>
      </c>
      <c r="I48" s="120">
        <f t="shared" si="21"/>
        <v>0</v>
      </c>
      <c r="J48" s="119">
        <f>'AÉREO REGULAR'!$I$73</f>
        <v>0</v>
      </c>
      <c r="K48" s="119">
        <f t="shared" si="22"/>
        <v>0</v>
      </c>
    </row>
    <row r="49" spans="1:11" x14ac:dyDescent="0.3">
      <c r="A49" s="66">
        <f>'AÉREO REGULAR'!U76</f>
        <v>0</v>
      </c>
      <c r="B49" s="116">
        <f>'AÉREO REGULAR'!$F$69</f>
        <v>0</v>
      </c>
      <c r="C49" s="117">
        <f>'AÉREO REGULAR'!$G$69</f>
        <v>0</v>
      </c>
      <c r="D49" s="118">
        <f t="shared" si="19"/>
        <v>0</v>
      </c>
      <c r="E49" s="119">
        <f>'AÉREO REGULAR'!$I$69</f>
        <v>0</v>
      </c>
      <c r="F49" s="119">
        <f t="shared" si="20"/>
        <v>0</v>
      </c>
      <c r="G49" s="122">
        <f>'AÉREO REGULAR'!$F$73</f>
        <v>0</v>
      </c>
      <c r="H49" s="123">
        <f>'AÉREO REGULAR'!$G$73</f>
        <v>0</v>
      </c>
      <c r="I49" s="120">
        <f t="shared" si="21"/>
        <v>0</v>
      </c>
      <c r="J49" s="119">
        <f>'AÉREO REGULAR'!$I$73</f>
        <v>0</v>
      </c>
      <c r="K49" s="119">
        <f t="shared" si="22"/>
        <v>0</v>
      </c>
    </row>
    <row r="50" spans="1:11" x14ac:dyDescent="0.3">
      <c r="A50" s="66">
        <f>'AÉREO REGULAR'!U77</f>
        <v>0</v>
      </c>
      <c r="B50" s="116">
        <f>'AÉREO REGULAR'!$F$69</f>
        <v>0</v>
      </c>
      <c r="C50" s="117">
        <f>'AÉREO REGULAR'!$G$69</f>
        <v>0</v>
      </c>
      <c r="D50" s="118">
        <f t="shared" si="19"/>
        <v>0</v>
      </c>
      <c r="E50" s="119">
        <f>'AÉREO REGULAR'!$I$69</f>
        <v>0</v>
      </c>
      <c r="F50" s="119">
        <f t="shared" si="20"/>
        <v>0</v>
      </c>
      <c r="G50" s="122">
        <f>'AÉREO REGULAR'!$F$73</f>
        <v>0</v>
      </c>
      <c r="H50" s="123">
        <f>'AÉREO REGULAR'!$G$73</f>
        <v>0</v>
      </c>
      <c r="I50" s="120">
        <f t="shared" si="21"/>
        <v>0</v>
      </c>
      <c r="J50" s="119">
        <f>'AÉREO REGULAR'!$I$73</f>
        <v>0</v>
      </c>
      <c r="K50" s="119">
        <f t="shared" si="22"/>
        <v>0</v>
      </c>
    </row>
    <row r="51" spans="1:11" x14ac:dyDescent="0.3">
      <c r="A51" s="66">
        <f>'AÉREO REGULAR'!U78</f>
        <v>0</v>
      </c>
      <c r="B51" s="116">
        <f>'AÉREO REGULAR'!$F$69</f>
        <v>0</v>
      </c>
      <c r="C51" s="117">
        <f>'AÉREO REGULAR'!$G$69</f>
        <v>0</v>
      </c>
      <c r="D51" s="118">
        <f t="shared" si="19"/>
        <v>0</v>
      </c>
      <c r="E51" s="119">
        <f>'AÉREO REGULAR'!$I$69</f>
        <v>0</v>
      </c>
      <c r="F51" s="119">
        <f t="shared" si="20"/>
        <v>0</v>
      </c>
      <c r="G51" s="122">
        <f>'AÉREO REGULAR'!$F$73</f>
        <v>0</v>
      </c>
      <c r="H51" s="123">
        <f>'AÉREO REGULAR'!$G$73</f>
        <v>0</v>
      </c>
      <c r="I51" s="120">
        <f t="shared" si="21"/>
        <v>0</v>
      </c>
      <c r="J51" s="119">
        <f>'AÉREO REGULAR'!$I$73</f>
        <v>0</v>
      </c>
      <c r="K51" s="119">
        <f t="shared" si="22"/>
        <v>0</v>
      </c>
    </row>
    <row r="52" spans="1:11" x14ac:dyDescent="0.3">
      <c r="A52" s="66">
        <f>'AÉREO REGULAR'!U79</f>
        <v>0</v>
      </c>
      <c r="B52" s="116">
        <f>'AÉREO REGULAR'!$F$69</f>
        <v>0</v>
      </c>
      <c r="C52" s="117">
        <f>'AÉREO REGULAR'!$G$69</f>
        <v>0</v>
      </c>
      <c r="D52" s="118">
        <f t="shared" si="19"/>
        <v>0</v>
      </c>
      <c r="E52" s="119">
        <f>'AÉREO REGULAR'!$I$69</f>
        <v>0</v>
      </c>
      <c r="F52" s="119">
        <f t="shared" si="20"/>
        <v>0</v>
      </c>
      <c r="G52" s="122">
        <f>'AÉREO REGULAR'!$F$73</f>
        <v>0</v>
      </c>
      <c r="H52" s="123">
        <f>'AÉREO REGULAR'!$G$73</f>
        <v>0</v>
      </c>
      <c r="I52" s="120">
        <f t="shared" si="21"/>
        <v>0</v>
      </c>
      <c r="J52" s="119">
        <f>'AÉREO REGULAR'!$I$73</f>
        <v>0</v>
      </c>
      <c r="K52" s="119">
        <f t="shared" si="22"/>
        <v>0</v>
      </c>
    </row>
    <row r="53" spans="1:11" ht="14.5" x14ac:dyDescent="0.35">
      <c r="A53" s="66">
        <f>'AÉREO REGULAR'!U85</f>
        <v>0</v>
      </c>
      <c r="B53" s="116">
        <f>'AÉREO REGULAR'!$F$84</f>
        <v>0</v>
      </c>
      <c r="C53" s="117">
        <f>'AÉREO REGULAR'!$G$84</f>
        <v>0</v>
      </c>
      <c r="D53" s="150">
        <f>IF('AÉREO REGULAR'!$A$82=0,'AÉREO REGULAR'!H86,IF('AÉREO REGULAR'!$A$82=1,'AÉREO REGULAR'!H85,'AÉREO REGULAR'!H84))</f>
        <v>0</v>
      </c>
      <c r="E53" s="119">
        <f>'AÉREO REGULAR'!$I$84</f>
        <v>0</v>
      </c>
      <c r="F53" s="119">
        <f>IF('AÉREO REGULAR'!$A$82=0,'AÉREO REGULAR'!J86,IF('AÉREO REGULAR'!$A$82=1,'AÉREO REGULAR'!J85,'AÉREO REGULAR'!J84))</f>
        <v>0</v>
      </c>
      <c r="G53" s="122">
        <f>'AÉREO REGULAR'!$F$88</f>
        <v>0</v>
      </c>
      <c r="H53" s="123">
        <f>'AÉREO REGULAR'!$G$73</f>
        <v>0</v>
      </c>
      <c r="I53" s="150">
        <f>IF('AÉREO REGULAR'!$A$83=0,'AÉREO REGULAR'!H90,IF('AÉREO REGULAR'!$A$83=1,'AÉREO REGULAR'!H89,'AÉREO REGULAR'!H88))</f>
        <v>0</v>
      </c>
      <c r="J53" s="119">
        <f>'AÉREO REGULAR'!$I$88</f>
        <v>0</v>
      </c>
      <c r="K53" s="151">
        <f>IF('AÉREO REGULAR'!$A$83=0,'AÉREO REGULAR'!J90,IF('AÉREO REGULAR'!$A$83=1,'AÉREO REGULAR'!J89,'AÉREO REGULAR'!J88))</f>
        <v>0</v>
      </c>
    </row>
    <row r="54" spans="1:11" x14ac:dyDescent="0.3">
      <c r="A54" s="66">
        <f>'AÉREO REGULAR'!U86</f>
        <v>0</v>
      </c>
      <c r="B54" s="116">
        <f>'AÉREO REGULAR'!$F$84</f>
        <v>0</v>
      </c>
      <c r="C54" s="117">
        <f>'AÉREO REGULAR'!$G$84</f>
        <v>0</v>
      </c>
      <c r="D54" s="118">
        <f>$D$53</f>
        <v>0</v>
      </c>
      <c r="E54" s="119">
        <f>'AÉREO REGULAR'!$I$84</f>
        <v>0</v>
      </c>
      <c r="F54" s="119">
        <f>$F$53</f>
        <v>0</v>
      </c>
      <c r="G54" s="122">
        <f>'AÉREO REGULAR'!$F$88</f>
        <v>0</v>
      </c>
      <c r="H54" s="123">
        <f>'AÉREO REGULAR'!$G$73</f>
        <v>0</v>
      </c>
      <c r="I54" s="120">
        <f>$I$53</f>
        <v>0</v>
      </c>
      <c r="J54" s="119">
        <f>'AÉREO REGULAR'!$I$88</f>
        <v>0</v>
      </c>
      <c r="K54" s="119">
        <f>$K$53</f>
        <v>0</v>
      </c>
    </row>
    <row r="55" spans="1:11" x14ac:dyDescent="0.3">
      <c r="A55" s="66">
        <f>'AÉREO REGULAR'!U87</f>
        <v>0</v>
      </c>
      <c r="B55" s="116">
        <f>'AÉREO REGULAR'!$F$84</f>
        <v>0</v>
      </c>
      <c r="C55" s="117">
        <f>'AÉREO REGULAR'!$G$84</f>
        <v>0</v>
      </c>
      <c r="D55" s="118">
        <f t="shared" ref="D55:D62" si="23">$D$53</f>
        <v>0</v>
      </c>
      <c r="E55" s="119">
        <f>'AÉREO REGULAR'!$I$84</f>
        <v>0</v>
      </c>
      <c r="F55" s="119">
        <f t="shared" ref="F55:F62" si="24">$F$53</f>
        <v>0</v>
      </c>
      <c r="G55" s="122">
        <f>'AÉREO REGULAR'!$F$88</f>
        <v>0</v>
      </c>
      <c r="H55" s="123">
        <f>'AÉREO REGULAR'!$G$73</f>
        <v>0</v>
      </c>
      <c r="I55" s="120">
        <f t="shared" ref="I55:I62" si="25">$I$53</f>
        <v>0</v>
      </c>
      <c r="J55" s="119">
        <f>'AÉREO REGULAR'!$I$88</f>
        <v>0</v>
      </c>
      <c r="K55" s="119">
        <f t="shared" ref="K55:K62" si="26">$K$53</f>
        <v>0</v>
      </c>
    </row>
    <row r="56" spans="1:11" x14ac:dyDescent="0.3">
      <c r="A56" s="66">
        <f>'AÉREO REGULAR'!U88</f>
        <v>0</v>
      </c>
      <c r="B56" s="116">
        <f>'AÉREO REGULAR'!$F$84</f>
        <v>0</v>
      </c>
      <c r="C56" s="117">
        <f>'AÉREO REGULAR'!$G$84</f>
        <v>0</v>
      </c>
      <c r="D56" s="118">
        <f t="shared" si="23"/>
        <v>0</v>
      </c>
      <c r="E56" s="119">
        <f>'AÉREO REGULAR'!$I$84</f>
        <v>0</v>
      </c>
      <c r="F56" s="119">
        <f t="shared" si="24"/>
        <v>0</v>
      </c>
      <c r="G56" s="122">
        <f>'AÉREO REGULAR'!$F$88</f>
        <v>0</v>
      </c>
      <c r="H56" s="123">
        <f>'AÉREO REGULAR'!$G$73</f>
        <v>0</v>
      </c>
      <c r="I56" s="120">
        <f t="shared" si="25"/>
        <v>0</v>
      </c>
      <c r="J56" s="119">
        <f>'AÉREO REGULAR'!$I$88</f>
        <v>0</v>
      </c>
      <c r="K56" s="119">
        <f t="shared" si="26"/>
        <v>0</v>
      </c>
    </row>
    <row r="57" spans="1:11" x14ac:dyDescent="0.3">
      <c r="A57" s="66">
        <f>'AÉREO REGULAR'!U89</f>
        <v>0</v>
      </c>
      <c r="B57" s="116">
        <f>'AÉREO REGULAR'!$F$84</f>
        <v>0</v>
      </c>
      <c r="C57" s="117">
        <f>'AÉREO REGULAR'!$G$84</f>
        <v>0</v>
      </c>
      <c r="D57" s="118">
        <f t="shared" si="23"/>
        <v>0</v>
      </c>
      <c r="E57" s="119">
        <f>'AÉREO REGULAR'!$I$84</f>
        <v>0</v>
      </c>
      <c r="F57" s="119">
        <f t="shared" si="24"/>
        <v>0</v>
      </c>
      <c r="G57" s="122">
        <f>'AÉREO REGULAR'!$F$88</f>
        <v>0</v>
      </c>
      <c r="H57" s="123">
        <f>'AÉREO REGULAR'!$G$73</f>
        <v>0</v>
      </c>
      <c r="I57" s="120">
        <f t="shared" si="25"/>
        <v>0</v>
      </c>
      <c r="J57" s="119">
        <f>'AÉREO REGULAR'!$I$88</f>
        <v>0</v>
      </c>
      <c r="K57" s="119">
        <f t="shared" si="26"/>
        <v>0</v>
      </c>
    </row>
    <row r="58" spans="1:11" x14ac:dyDescent="0.3">
      <c r="A58" s="66">
        <f>'AÉREO REGULAR'!U90</f>
        <v>0</v>
      </c>
      <c r="B58" s="116">
        <f>'AÉREO REGULAR'!$F$84</f>
        <v>0</v>
      </c>
      <c r="C58" s="117">
        <f>'AÉREO REGULAR'!$G$84</f>
        <v>0</v>
      </c>
      <c r="D58" s="118">
        <f t="shared" si="23"/>
        <v>0</v>
      </c>
      <c r="E58" s="119">
        <f>'AÉREO REGULAR'!$I$84</f>
        <v>0</v>
      </c>
      <c r="F58" s="119">
        <f t="shared" si="24"/>
        <v>0</v>
      </c>
      <c r="G58" s="122">
        <f>'AÉREO REGULAR'!$F$88</f>
        <v>0</v>
      </c>
      <c r="H58" s="123">
        <f>'AÉREO REGULAR'!$G$73</f>
        <v>0</v>
      </c>
      <c r="I58" s="120">
        <f t="shared" si="25"/>
        <v>0</v>
      </c>
      <c r="J58" s="119">
        <f>'AÉREO REGULAR'!$I$88</f>
        <v>0</v>
      </c>
      <c r="K58" s="119">
        <f t="shared" si="26"/>
        <v>0</v>
      </c>
    </row>
    <row r="59" spans="1:11" x14ac:dyDescent="0.3">
      <c r="A59" s="66">
        <f>'AÉREO REGULAR'!U91</f>
        <v>0</v>
      </c>
      <c r="B59" s="116">
        <f>'AÉREO REGULAR'!$F$84</f>
        <v>0</v>
      </c>
      <c r="C59" s="117">
        <f>'AÉREO REGULAR'!$G$84</f>
        <v>0</v>
      </c>
      <c r="D59" s="118">
        <f t="shared" si="23"/>
        <v>0</v>
      </c>
      <c r="E59" s="119">
        <f>'AÉREO REGULAR'!$I$84</f>
        <v>0</v>
      </c>
      <c r="F59" s="119">
        <f t="shared" si="24"/>
        <v>0</v>
      </c>
      <c r="G59" s="122">
        <f>'AÉREO REGULAR'!$F$88</f>
        <v>0</v>
      </c>
      <c r="H59" s="123">
        <f>'AÉREO REGULAR'!$G$73</f>
        <v>0</v>
      </c>
      <c r="I59" s="120">
        <f t="shared" si="25"/>
        <v>0</v>
      </c>
      <c r="J59" s="119">
        <f>'AÉREO REGULAR'!$I$88</f>
        <v>0</v>
      </c>
      <c r="K59" s="119">
        <f t="shared" si="26"/>
        <v>0</v>
      </c>
    </row>
    <row r="60" spans="1:11" x14ac:dyDescent="0.3">
      <c r="A60" s="66">
        <f>'AÉREO REGULAR'!U92</f>
        <v>0</v>
      </c>
      <c r="B60" s="116">
        <f>'AÉREO REGULAR'!$F$84</f>
        <v>0</v>
      </c>
      <c r="C60" s="117">
        <f>'AÉREO REGULAR'!$G$84</f>
        <v>0</v>
      </c>
      <c r="D60" s="118">
        <f t="shared" si="23"/>
        <v>0</v>
      </c>
      <c r="E60" s="119">
        <f>'AÉREO REGULAR'!$I$84</f>
        <v>0</v>
      </c>
      <c r="F60" s="119">
        <f t="shared" si="24"/>
        <v>0</v>
      </c>
      <c r="G60" s="122">
        <f>'AÉREO REGULAR'!$F$88</f>
        <v>0</v>
      </c>
      <c r="H60" s="123">
        <f>'AÉREO REGULAR'!$G$73</f>
        <v>0</v>
      </c>
      <c r="I60" s="120">
        <f t="shared" si="25"/>
        <v>0</v>
      </c>
      <c r="J60" s="119">
        <f>'AÉREO REGULAR'!$I$88</f>
        <v>0</v>
      </c>
      <c r="K60" s="119">
        <f t="shared" si="26"/>
        <v>0</v>
      </c>
    </row>
    <row r="61" spans="1:11" x14ac:dyDescent="0.3">
      <c r="A61" s="66">
        <f>'AÉREO REGULAR'!U93</f>
        <v>0</v>
      </c>
      <c r="B61" s="116">
        <f>'AÉREO REGULAR'!$F$84</f>
        <v>0</v>
      </c>
      <c r="C61" s="117">
        <f>'AÉREO REGULAR'!$G$84</f>
        <v>0</v>
      </c>
      <c r="D61" s="118">
        <f t="shared" si="23"/>
        <v>0</v>
      </c>
      <c r="E61" s="119">
        <f>'AÉREO REGULAR'!$I$84</f>
        <v>0</v>
      </c>
      <c r="F61" s="119">
        <f t="shared" si="24"/>
        <v>0</v>
      </c>
      <c r="G61" s="122">
        <f>'AÉREO REGULAR'!$F$88</f>
        <v>0</v>
      </c>
      <c r="H61" s="123">
        <f>'AÉREO REGULAR'!$G$73</f>
        <v>0</v>
      </c>
      <c r="I61" s="120">
        <f t="shared" si="25"/>
        <v>0</v>
      </c>
      <c r="J61" s="119">
        <f>'AÉREO REGULAR'!$I$88</f>
        <v>0</v>
      </c>
      <c r="K61" s="119">
        <f t="shared" si="26"/>
        <v>0</v>
      </c>
    </row>
    <row r="62" spans="1:11" x14ac:dyDescent="0.3">
      <c r="A62" s="66">
        <f>'AÉREO REGULAR'!U94</f>
        <v>0</v>
      </c>
      <c r="B62" s="116">
        <f>'AÉREO REGULAR'!$F$84</f>
        <v>0</v>
      </c>
      <c r="C62" s="117">
        <f>'AÉREO REGULAR'!$G$84</f>
        <v>0</v>
      </c>
      <c r="D62" s="118">
        <f t="shared" si="23"/>
        <v>0</v>
      </c>
      <c r="E62" s="119">
        <f>'AÉREO REGULAR'!$I$84</f>
        <v>0</v>
      </c>
      <c r="F62" s="119">
        <f t="shared" si="24"/>
        <v>0</v>
      </c>
      <c r="G62" s="122">
        <f>'AÉREO REGULAR'!$F$88</f>
        <v>0</v>
      </c>
      <c r="H62" s="123">
        <f>'AÉREO REGULAR'!$G$73</f>
        <v>0</v>
      </c>
      <c r="I62" s="120">
        <f t="shared" si="25"/>
        <v>0</v>
      </c>
      <c r="J62" s="119">
        <f>'AÉREO REGULAR'!$I$88</f>
        <v>0</v>
      </c>
      <c r="K62" s="119">
        <f t="shared" si="26"/>
        <v>0</v>
      </c>
    </row>
    <row r="63" spans="1:11" ht="14.5" x14ac:dyDescent="0.35">
      <c r="A63" s="66">
        <f>'AÉREO REGULAR'!U100</f>
        <v>0</v>
      </c>
      <c r="B63" s="116">
        <f>'AÉREO REGULAR'!$F$99</f>
        <v>0</v>
      </c>
      <c r="C63" s="117">
        <f>'AÉREO REGULAR'!$G$99</f>
        <v>0</v>
      </c>
      <c r="D63" s="150">
        <f>IF('AÉREO REGULAR'!$A$97=0,'AÉREO REGULAR'!H101,IF('AÉREO REGULAR'!$A$97=1,'AÉREO REGULAR'!H100,'AÉREO REGULAR'!H99))</f>
        <v>0</v>
      </c>
      <c r="E63" s="119">
        <f>'AÉREO REGULAR'!$I$99</f>
        <v>0</v>
      </c>
      <c r="F63" s="148">
        <f>IF('AÉREO REGULAR'!$A$97=0,'AÉREO REGULAR'!J101,IF('AÉREO REGULAR'!$A$97=1,'AÉREO REGULAR'!J100,'AÉREO REGULAR'!J99))</f>
        <v>0</v>
      </c>
      <c r="G63" s="122">
        <f>'AÉREO REGULAR'!$F$103</f>
        <v>0</v>
      </c>
      <c r="H63" s="123">
        <f>'AÉREO REGULAR'!$G$103</f>
        <v>0</v>
      </c>
      <c r="I63" s="150">
        <f>IF('AÉREO REGULAR'!$A$98=0,'AÉREO REGULAR'!H105,IF('AÉREO REGULAR'!$A$98=1,'AÉREO REGULAR'!H104,'AÉREO REGULAR'!H103))</f>
        <v>0</v>
      </c>
      <c r="J63" s="119">
        <f>'AÉREO REGULAR'!$J$103</f>
        <v>0</v>
      </c>
      <c r="K63" s="148">
        <f>IF('AÉREO REGULAR'!$A$98=0,'AÉREO REGULAR'!J105,IF('AÉREO REGULAR'!$A$98=1,'AÉREO REGULAR'!J104,'AÉREO REGULAR'!J103))</f>
        <v>0</v>
      </c>
    </row>
    <row r="64" spans="1:11" x14ac:dyDescent="0.3">
      <c r="A64" s="66">
        <f>'AÉREO REGULAR'!U101</f>
        <v>0</v>
      </c>
      <c r="B64" s="116">
        <f>'AÉREO REGULAR'!$F$99</f>
        <v>0</v>
      </c>
      <c r="C64" s="117">
        <f>'AÉREO REGULAR'!$G$99</f>
        <v>0</v>
      </c>
      <c r="D64" s="118">
        <f>$D$63</f>
        <v>0</v>
      </c>
      <c r="E64" s="119">
        <f>'AÉREO REGULAR'!$I$99</f>
        <v>0</v>
      </c>
      <c r="F64" s="119">
        <f>$F$63</f>
        <v>0</v>
      </c>
      <c r="G64" s="122">
        <f>'AÉREO REGULAR'!$F$103</f>
        <v>0</v>
      </c>
      <c r="H64" s="123">
        <f>'AÉREO REGULAR'!$G$103</f>
        <v>0</v>
      </c>
      <c r="I64" s="120">
        <f>$I$63</f>
        <v>0</v>
      </c>
      <c r="J64" s="119">
        <f>'AÉREO REGULAR'!$J$103</f>
        <v>0</v>
      </c>
      <c r="K64" s="119">
        <f>$K$63</f>
        <v>0</v>
      </c>
    </row>
    <row r="65" spans="1:11" x14ac:dyDescent="0.3">
      <c r="A65" s="66">
        <f>'AÉREO REGULAR'!U102</f>
        <v>0</v>
      </c>
      <c r="B65" s="116">
        <f>'AÉREO REGULAR'!$F$99</f>
        <v>0</v>
      </c>
      <c r="C65" s="117">
        <f>'AÉREO REGULAR'!$G$99</f>
        <v>0</v>
      </c>
      <c r="D65" s="118">
        <f t="shared" ref="D65:D72" si="27">$D$63</f>
        <v>0</v>
      </c>
      <c r="E65" s="119">
        <f>'AÉREO REGULAR'!$I$99</f>
        <v>0</v>
      </c>
      <c r="F65" s="119">
        <f t="shared" ref="F65:F72" si="28">$F$63</f>
        <v>0</v>
      </c>
      <c r="G65" s="122">
        <f>'AÉREO REGULAR'!$F$103</f>
        <v>0</v>
      </c>
      <c r="H65" s="123">
        <f>'AÉREO REGULAR'!$G$103</f>
        <v>0</v>
      </c>
      <c r="I65" s="120">
        <f t="shared" ref="I65:I72" si="29">$I$63</f>
        <v>0</v>
      </c>
      <c r="J65" s="119">
        <f>'AÉREO REGULAR'!$J$103</f>
        <v>0</v>
      </c>
      <c r="K65" s="119">
        <f t="shared" ref="K65:K72" si="30">$K$63</f>
        <v>0</v>
      </c>
    </row>
    <row r="66" spans="1:11" x14ac:dyDescent="0.3">
      <c r="A66" s="66">
        <f>'AÉREO REGULAR'!U103</f>
        <v>0</v>
      </c>
      <c r="B66" s="116">
        <f>'AÉREO REGULAR'!$F$99</f>
        <v>0</v>
      </c>
      <c r="C66" s="117">
        <f>'AÉREO REGULAR'!$G$99</f>
        <v>0</v>
      </c>
      <c r="D66" s="118">
        <f t="shared" si="27"/>
        <v>0</v>
      </c>
      <c r="E66" s="119">
        <f>'AÉREO REGULAR'!$I$99</f>
        <v>0</v>
      </c>
      <c r="F66" s="119">
        <f t="shared" si="28"/>
        <v>0</v>
      </c>
      <c r="G66" s="122">
        <f>'AÉREO REGULAR'!$F$103</f>
        <v>0</v>
      </c>
      <c r="H66" s="123">
        <f>'AÉREO REGULAR'!$G$103</f>
        <v>0</v>
      </c>
      <c r="I66" s="120">
        <f t="shared" si="29"/>
        <v>0</v>
      </c>
      <c r="J66" s="119">
        <f>'AÉREO REGULAR'!$J$103</f>
        <v>0</v>
      </c>
      <c r="K66" s="119">
        <f t="shared" si="30"/>
        <v>0</v>
      </c>
    </row>
    <row r="67" spans="1:11" x14ac:dyDescent="0.3">
      <c r="A67" s="66">
        <f>'AÉREO REGULAR'!U104</f>
        <v>0</v>
      </c>
      <c r="B67" s="116">
        <f>'AÉREO REGULAR'!$F$99</f>
        <v>0</v>
      </c>
      <c r="C67" s="117">
        <f>'AÉREO REGULAR'!$G$99</f>
        <v>0</v>
      </c>
      <c r="D67" s="118">
        <f t="shared" si="27"/>
        <v>0</v>
      </c>
      <c r="E67" s="119">
        <f>'AÉREO REGULAR'!$I$99</f>
        <v>0</v>
      </c>
      <c r="F67" s="119">
        <f t="shared" si="28"/>
        <v>0</v>
      </c>
      <c r="G67" s="122">
        <f>'AÉREO REGULAR'!$F$103</f>
        <v>0</v>
      </c>
      <c r="H67" s="123">
        <f>'AÉREO REGULAR'!$G$103</f>
        <v>0</v>
      </c>
      <c r="I67" s="120">
        <f t="shared" si="29"/>
        <v>0</v>
      </c>
      <c r="J67" s="119">
        <f>'AÉREO REGULAR'!$J$103</f>
        <v>0</v>
      </c>
      <c r="K67" s="119">
        <f t="shared" si="30"/>
        <v>0</v>
      </c>
    </row>
    <row r="68" spans="1:11" x14ac:dyDescent="0.3">
      <c r="A68" s="66">
        <f>'AÉREO REGULAR'!U105</f>
        <v>0</v>
      </c>
      <c r="B68" s="116">
        <f>'AÉREO REGULAR'!$F$99</f>
        <v>0</v>
      </c>
      <c r="C68" s="117">
        <f>'AÉREO REGULAR'!$G$99</f>
        <v>0</v>
      </c>
      <c r="D68" s="118">
        <f t="shared" si="27"/>
        <v>0</v>
      </c>
      <c r="E68" s="119">
        <f>'AÉREO REGULAR'!$I$99</f>
        <v>0</v>
      </c>
      <c r="F68" s="119">
        <f t="shared" si="28"/>
        <v>0</v>
      </c>
      <c r="G68" s="122">
        <f>'AÉREO REGULAR'!$F$103</f>
        <v>0</v>
      </c>
      <c r="H68" s="123">
        <f>'AÉREO REGULAR'!$G$103</f>
        <v>0</v>
      </c>
      <c r="I68" s="120">
        <f t="shared" si="29"/>
        <v>0</v>
      </c>
      <c r="J68" s="119">
        <f>'AÉREO REGULAR'!$J$103</f>
        <v>0</v>
      </c>
      <c r="K68" s="119">
        <f t="shared" si="30"/>
        <v>0</v>
      </c>
    </row>
    <row r="69" spans="1:11" x14ac:dyDescent="0.3">
      <c r="A69" s="66">
        <f>'AÉREO REGULAR'!U106</f>
        <v>0</v>
      </c>
      <c r="B69" s="116">
        <f>'AÉREO REGULAR'!$F$99</f>
        <v>0</v>
      </c>
      <c r="C69" s="117">
        <f>'AÉREO REGULAR'!$G$99</f>
        <v>0</v>
      </c>
      <c r="D69" s="118">
        <f t="shared" si="27"/>
        <v>0</v>
      </c>
      <c r="E69" s="119">
        <f>'AÉREO REGULAR'!$I$99</f>
        <v>0</v>
      </c>
      <c r="F69" s="119">
        <f t="shared" si="28"/>
        <v>0</v>
      </c>
      <c r="G69" s="122">
        <f>'AÉREO REGULAR'!$F$103</f>
        <v>0</v>
      </c>
      <c r="H69" s="123">
        <f>'AÉREO REGULAR'!$G$103</f>
        <v>0</v>
      </c>
      <c r="I69" s="120">
        <f t="shared" si="29"/>
        <v>0</v>
      </c>
      <c r="J69" s="119">
        <f>'AÉREO REGULAR'!$J$103</f>
        <v>0</v>
      </c>
      <c r="K69" s="119">
        <f t="shared" si="30"/>
        <v>0</v>
      </c>
    </row>
    <row r="70" spans="1:11" x14ac:dyDescent="0.3">
      <c r="A70" s="66">
        <f>'AÉREO REGULAR'!U107</f>
        <v>0</v>
      </c>
      <c r="B70" s="116">
        <f>'AÉREO REGULAR'!$F$99</f>
        <v>0</v>
      </c>
      <c r="C70" s="117">
        <f>'AÉREO REGULAR'!$G$99</f>
        <v>0</v>
      </c>
      <c r="D70" s="118">
        <f t="shared" si="27"/>
        <v>0</v>
      </c>
      <c r="E70" s="119">
        <f>'AÉREO REGULAR'!$I$99</f>
        <v>0</v>
      </c>
      <c r="F70" s="119">
        <f t="shared" si="28"/>
        <v>0</v>
      </c>
      <c r="G70" s="122">
        <f>'AÉREO REGULAR'!$F$103</f>
        <v>0</v>
      </c>
      <c r="H70" s="123">
        <f>'AÉREO REGULAR'!$G$103</f>
        <v>0</v>
      </c>
      <c r="I70" s="120">
        <f t="shared" si="29"/>
        <v>0</v>
      </c>
      <c r="J70" s="119">
        <f>'AÉREO REGULAR'!$J$103</f>
        <v>0</v>
      </c>
      <c r="K70" s="119">
        <f t="shared" si="30"/>
        <v>0</v>
      </c>
    </row>
    <row r="71" spans="1:11" x14ac:dyDescent="0.3">
      <c r="A71" s="66">
        <f>'AÉREO REGULAR'!U108</f>
        <v>0</v>
      </c>
      <c r="B71" s="116">
        <f>'AÉREO REGULAR'!$F$99</f>
        <v>0</v>
      </c>
      <c r="C71" s="117">
        <f>'AÉREO REGULAR'!$G$99</f>
        <v>0</v>
      </c>
      <c r="D71" s="118">
        <f t="shared" si="27"/>
        <v>0</v>
      </c>
      <c r="E71" s="119">
        <f>'AÉREO REGULAR'!$I$99</f>
        <v>0</v>
      </c>
      <c r="F71" s="119">
        <f t="shared" si="28"/>
        <v>0</v>
      </c>
      <c r="G71" s="122">
        <f>'AÉREO REGULAR'!$F$103</f>
        <v>0</v>
      </c>
      <c r="H71" s="123">
        <f>'AÉREO REGULAR'!$G$103</f>
        <v>0</v>
      </c>
      <c r="I71" s="120">
        <f t="shared" si="29"/>
        <v>0</v>
      </c>
      <c r="J71" s="119">
        <f>'AÉREO REGULAR'!$J$103</f>
        <v>0</v>
      </c>
      <c r="K71" s="119">
        <f t="shared" si="30"/>
        <v>0</v>
      </c>
    </row>
    <row r="72" spans="1:11" x14ac:dyDescent="0.3">
      <c r="A72" s="66">
        <f>'AÉREO REGULAR'!U109</f>
        <v>0</v>
      </c>
      <c r="B72" s="116">
        <f>'AÉREO REGULAR'!$F$99</f>
        <v>0</v>
      </c>
      <c r="C72" s="117">
        <f>'AÉREO REGULAR'!$G$99</f>
        <v>0</v>
      </c>
      <c r="D72" s="118">
        <f t="shared" si="27"/>
        <v>0</v>
      </c>
      <c r="E72" s="119">
        <f>'AÉREO REGULAR'!$I$99</f>
        <v>0</v>
      </c>
      <c r="F72" s="119">
        <f t="shared" si="28"/>
        <v>0</v>
      </c>
      <c r="G72" s="122">
        <f>'AÉREO REGULAR'!$F$103</f>
        <v>0</v>
      </c>
      <c r="H72" s="123">
        <f>'AÉREO REGULAR'!$G$103</f>
        <v>0</v>
      </c>
      <c r="I72" s="120">
        <f t="shared" si="29"/>
        <v>0</v>
      </c>
      <c r="J72" s="119">
        <f>'AÉREO REGULAR'!$J$103</f>
        <v>0</v>
      </c>
      <c r="K72" s="119">
        <f t="shared" si="30"/>
        <v>0</v>
      </c>
    </row>
    <row r="73" spans="1:11" ht="14.5" x14ac:dyDescent="0.35">
      <c r="A73" s="66">
        <f>'AÉREO REGULAR'!U115</f>
        <v>0</v>
      </c>
      <c r="B73" s="116">
        <f>'AÉREO REGULAR'!$F$114</f>
        <v>0</v>
      </c>
      <c r="C73" s="117">
        <f>'AÉREO REGULAR'!$G$114</f>
        <v>0</v>
      </c>
      <c r="D73" s="118">
        <f>IF('AÉREO REGULAR'!$A$112=0,'AÉREO REGULAR'!H116,IF('AÉREO REGULAR'!$A$112=1,'AÉREO REGULAR'!H115,'AÉREO REGULAR'!H114))</f>
        <v>0</v>
      </c>
      <c r="E73" s="119">
        <f>'AÉREO REGULAR'!$I$114</f>
        <v>0</v>
      </c>
      <c r="F73" s="148">
        <f>IF('AÉREO REGULAR'!$A$112=0,'AÉREO REGULAR'!J116,IF('AÉREO REGULAR'!$A$112=1,'AÉREO REGULAR'!J115,'AÉREO REGULAR'!J114))</f>
        <v>0</v>
      </c>
      <c r="G73" s="122">
        <f>'AÉREO REGULAR'!$F$118</f>
        <v>0</v>
      </c>
      <c r="H73" s="123">
        <f>'AÉREO REGULAR'!$G$118</f>
        <v>0</v>
      </c>
      <c r="I73" s="150">
        <f>IF('AÉREO REGULAR'!$A$113=0,'AÉREO REGULAR'!H120,IF('AÉREO REGULAR'!$A$113=1,'AÉREO REGULAR'!H119,'AÉREO REGULAR'!H118))</f>
        <v>0</v>
      </c>
      <c r="J73" s="119">
        <f>'AÉREO REGULAR'!$I$118</f>
        <v>0</v>
      </c>
      <c r="K73" s="148">
        <f>IF('AÉREO REGULAR'!$A$113=0,'AÉREO REGULAR'!J120,IF('AÉREO REGULAR'!$A$113=1,'AÉREO REGULAR'!J119,'AÉREO REGULAR'!J118))</f>
        <v>0</v>
      </c>
    </row>
    <row r="74" spans="1:11" x14ac:dyDescent="0.3">
      <c r="A74" s="66">
        <f>'AÉREO REGULAR'!U116</f>
        <v>0</v>
      </c>
      <c r="B74" s="116">
        <f>'AÉREO REGULAR'!$F$114</f>
        <v>0</v>
      </c>
      <c r="C74" s="117">
        <f>'AÉREO REGULAR'!$G$114</f>
        <v>0</v>
      </c>
      <c r="D74" s="118">
        <f>$D$73</f>
        <v>0</v>
      </c>
      <c r="E74" s="119">
        <f>'AÉREO REGULAR'!$I$114</f>
        <v>0</v>
      </c>
      <c r="F74" s="119">
        <f>$F$73</f>
        <v>0</v>
      </c>
      <c r="G74" s="122">
        <f>'AÉREO REGULAR'!$F$118</f>
        <v>0</v>
      </c>
      <c r="H74" s="123">
        <f>'AÉREO REGULAR'!$G$118</f>
        <v>0</v>
      </c>
      <c r="I74" s="120">
        <f>$I$73</f>
        <v>0</v>
      </c>
      <c r="J74" s="119">
        <f>'AÉREO REGULAR'!$I$118</f>
        <v>0</v>
      </c>
      <c r="K74" s="119">
        <f>$K$73</f>
        <v>0</v>
      </c>
    </row>
    <row r="75" spans="1:11" x14ac:dyDescent="0.3">
      <c r="A75" s="66">
        <f>'AÉREO REGULAR'!U117</f>
        <v>0</v>
      </c>
      <c r="B75" s="116">
        <f>'AÉREO REGULAR'!$F$114</f>
        <v>0</v>
      </c>
      <c r="C75" s="117">
        <f>'AÉREO REGULAR'!$G$114</f>
        <v>0</v>
      </c>
      <c r="D75" s="118">
        <f t="shared" ref="D75:D82" si="31">$D$73</f>
        <v>0</v>
      </c>
      <c r="E75" s="119">
        <f>'AÉREO REGULAR'!$I$114</f>
        <v>0</v>
      </c>
      <c r="F75" s="119">
        <f t="shared" ref="F75:F82" si="32">$F$73</f>
        <v>0</v>
      </c>
      <c r="G75" s="122">
        <f>'AÉREO REGULAR'!$F$118</f>
        <v>0</v>
      </c>
      <c r="H75" s="123">
        <f>'AÉREO REGULAR'!$G$118</f>
        <v>0</v>
      </c>
      <c r="I75" s="120">
        <f t="shared" ref="I75:I82" si="33">$I$73</f>
        <v>0</v>
      </c>
      <c r="J75" s="119">
        <f>'AÉREO REGULAR'!$I$118</f>
        <v>0</v>
      </c>
      <c r="K75" s="119">
        <f t="shared" ref="K75:K82" si="34">$K$73</f>
        <v>0</v>
      </c>
    </row>
    <row r="76" spans="1:11" x14ac:dyDescent="0.3">
      <c r="A76" s="66">
        <f>'AÉREO REGULAR'!U118</f>
        <v>0</v>
      </c>
      <c r="B76" s="116">
        <f>'AÉREO REGULAR'!$F$114</f>
        <v>0</v>
      </c>
      <c r="C76" s="117">
        <f>'AÉREO REGULAR'!$G$114</f>
        <v>0</v>
      </c>
      <c r="D76" s="118">
        <f t="shared" si="31"/>
        <v>0</v>
      </c>
      <c r="E76" s="119">
        <f>'AÉREO REGULAR'!$I$114</f>
        <v>0</v>
      </c>
      <c r="F76" s="119">
        <f t="shared" si="32"/>
        <v>0</v>
      </c>
      <c r="G76" s="122">
        <f>'AÉREO REGULAR'!$F$118</f>
        <v>0</v>
      </c>
      <c r="H76" s="123">
        <f>'AÉREO REGULAR'!$G$118</f>
        <v>0</v>
      </c>
      <c r="I76" s="120">
        <f t="shared" si="33"/>
        <v>0</v>
      </c>
      <c r="J76" s="119">
        <f>'AÉREO REGULAR'!$I$118</f>
        <v>0</v>
      </c>
      <c r="K76" s="119">
        <f t="shared" si="34"/>
        <v>0</v>
      </c>
    </row>
    <row r="77" spans="1:11" x14ac:dyDescent="0.3">
      <c r="A77" s="66">
        <f>'AÉREO REGULAR'!U119</f>
        <v>0</v>
      </c>
      <c r="B77" s="116">
        <f>'AÉREO REGULAR'!$F$114</f>
        <v>0</v>
      </c>
      <c r="C77" s="117">
        <f>'AÉREO REGULAR'!$G$114</f>
        <v>0</v>
      </c>
      <c r="D77" s="118">
        <f t="shared" si="31"/>
        <v>0</v>
      </c>
      <c r="E77" s="119">
        <f>'AÉREO REGULAR'!$I$114</f>
        <v>0</v>
      </c>
      <c r="F77" s="119">
        <f t="shared" si="32"/>
        <v>0</v>
      </c>
      <c r="G77" s="122">
        <f>'AÉREO REGULAR'!$F$118</f>
        <v>0</v>
      </c>
      <c r="H77" s="123">
        <f>'AÉREO REGULAR'!$G$118</f>
        <v>0</v>
      </c>
      <c r="I77" s="120">
        <f t="shared" si="33"/>
        <v>0</v>
      </c>
      <c r="J77" s="119">
        <f>'AÉREO REGULAR'!$I$118</f>
        <v>0</v>
      </c>
      <c r="K77" s="119">
        <f t="shared" si="34"/>
        <v>0</v>
      </c>
    </row>
    <row r="78" spans="1:11" x14ac:dyDescent="0.3">
      <c r="A78" s="66">
        <f>'AÉREO REGULAR'!U120</f>
        <v>0</v>
      </c>
      <c r="B78" s="116">
        <f>'AÉREO REGULAR'!$F$114</f>
        <v>0</v>
      </c>
      <c r="C78" s="117">
        <f>'AÉREO REGULAR'!$G$114</f>
        <v>0</v>
      </c>
      <c r="D78" s="118">
        <f t="shared" si="31"/>
        <v>0</v>
      </c>
      <c r="E78" s="119">
        <f>'AÉREO REGULAR'!$I$114</f>
        <v>0</v>
      </c>
      <c r="F78" s="119">
        <f t="shared" si="32"/>
        <v>0</v>
      </c>
      <c r="G78" s="122">
        <f>'AÉREO REGULAR'!$F$118</f>
        <v>0</v>
      </c>
      <c r="H78" s="123">
        <f>'AÉREO REGULAR'!$G$118</f>
        <v>0</v>
      </c>
      <c r="I78" s="120">
        <f t="shared" si="33"/>
        <v>0</v>
      </c>
      <c r="J78" s="119">
        <f>'AÉREO REGULAR'!$I$118</f>
        <v>0</v>
      </c>
      <c r="K78" s="119">
        <f t="shared" si="34"/>
        <v>0</v>
      </c>
    </row>
    <row r="79" spans="1:11" x14ac:dyDescent="0.3">
      <c r="A79" s="66">
        <f>'AÉREO REGULAR'!U121</f>
        <v>0</v>
      </c>
      <c r="B79" s="116">
        <f>'AÉREO REGULAR'!$F$114</f>
        <v>0</v>
      </c>
      <c r="C79" s="117">
        <f>'AÉREO REGULAR'!$G$114</f>
        <v>0</v>
      </c>
      <c r="D79" s="118">
        <f t="shared" si="31"/>
        <v>0</v>
      </c>
      <c r="E79" s="119">
        <f>'AÉREO REGULAR'!$I$114</f>
        <v>0</v>
      </c>
      <c r="F79" s="119">
        <f t="shared" si="32"/>
        <v>0</v>
      </c>
      <c r="G79" s="122">
        <f>'AÉREO REGULAR'!$F$118</f>
        <v>0</v>
      </c>
      <c r="H79" s="123">
        <f>'AÉREO REGULAR'!$G$118</f>
        <v>0</v>
      </c>
      <c r="I79" s="120">
        <f t="shared" si="33"/>
        <v>0</v>
      </c>
      <c r="J79" s="119">
        <f>'AÉREO REGULAR'!$I$118</f>
        <v>0</v>
      </c>
      <c r="K79" s="119">
        <f t="shared" si="34"/>
        <v>0</v>
      </c>
    </row>
    <row r="80" spans="1:11" x14ac:dyDescent="0.3">
      <c r="A80" s="66">
        <f>'AÉREO REGULAR'!U122</f>
        <v>0</v>
      </c>
      <c r="B80" s="116">
        <f>'AÉREO REGULAR'!$F$114</f>
        <v>0</v>
      </c>
      <c r="C80" s="117">
        <f>'AÉREO REGULAR'!$G$114</f>
        <v>0</v>
      </c>
      <c r="D80" s="118">
        <f t="shared" si="31"/>
        <v>0</v>
      </c>
      <c r="E80" s="119">
        <f>'AÉREO REGULAR'!$I$114</f>
        <v>0</v>
      </c>
      <c r="F80" s="119">
        <f t="shared" si="32"/>
        <v>0</v>
      </c>
      <c r="G80" s="122">
        <f>'AÉREO REGULAR'!$F$118</f>
        <v>0</v>
      </c>
      <c r="H80" s="123">
        <f>'AÉREO REGULAR'!$G$118</f>
        <v>0</v>
      </c>
      <c r="I80" s="120">
        <f t="shared" si="33"/>
        <v>0</v>
      </c>
      <c r="J80" s="119">
        <f>'AÉREO REGULAR'!$I$118</f>
        <v>0</v>
      </c>
      <c r="K80" s="119">
        <f t="shared" si="34"/>
        <v>0</v>
      </c>
    </row>
    <row r="81" spans="1:11" x14ac:dyDescent="0.3">
      <c r="A81" s="66">
        <f>'AÉREO REGULAR'!U123</f>
        <v>0</v>
      </c>
      <c r="B81" s="116">
        <f>'AÉREO REGULAR'!$F$114</f>
        <v>0</v>
      </c>
      <c r="C81" s="117">
        <f>'AÉREO REGULAR'!$G$114</f>
        <v>0</v>
      </c>
      <c r="D81" s="118">
        <f t="shared" si="31"/>
        <v>0</v>
      </c>
      <c r="E81" s="119">
        <f>'AÉREO REGULAR'!$I$114</f>
        <v>0</v>
      </c>
      <c r="F81" s="119">
        <f t="shared" si="32"/>
        <v>0</v>
      </c>
      <c r="G81" s="122">
        <f>'AÉREO REGULAR'!$F$118</f>
        <v>0</v>
      </c>
      <c r="H81" s="123">
        <f>'AÉREO REGULAR'!$G$118</f>
        <v>0</v>
      </c>
      <c r="I81" s="120">
        <f t="shared" si="33"/>
        <v>0</v>
      </c>
      <c r="J81" s="119">
        <f>'AÉREO REGULAR'!$I$118</f>
        <v>0</v>
      </c>
      <c r="K81" s="119">
        <f t="shared" si="34"/>
        <v>0</v>
      </c>
    </row>
    <row r="82" spans="1:11" x14ac:dyDescent="0.3">
      <c r="A82" s="66">
        <f>'AÉREO REGULAR'!U124</f>
        <v>0</v>
      </c>
      <c r="B82" s="116">
        <f>'AÉREO REGULAR'!$F$114</f>
        <v>0</v>
      </c>
      <c r="C82" s="117">
        <f>'AÉREO REGULAR'!$G$114</f>
        <v>0</v>
      </c>
      <c r="D82" s="118">
        <f t="shared" si="31"/>
        <v>0</v>
      </c>
      <c r="E82" s="119">
        <f>'AÉREO REGULAR'!$I$114</f>
        <v>0</v>
      </c>
      <c r="F82" s="119">
        <f t="shared" si="32"/>
        <v>0</v>
      </c>
      <c r="G82" s="122">
        <f>'AÉREO REGULAR'!$F$118</f>
        <v>0</v>
      </c>
      <c r="H82" s="123">
        <f>'AÉREO REGULAR'!$G$118</f>
        <v>0</v>
      </c>
      <c r="I82" s="120">
        <f t="shared" si="33"/>
        <v>0</v>
      </c>
      <c r="J82" s="119">
        <f>'AÉREO REGULAR'!$I$118</f>
        <v>0</v>
      </c>
      <c r="K82" s="119">
        <f t="shared" si="34"/>
        <v>0</v>
      </c>
    </row>
    <row r="83" spans="1:11" ht="14.5" x14ac:dyDescent="0.35">
      <c r="A83" s="66">
        <f>'AÉREO REGULAR'!U130</f>
        <v>0</v>
      </c>
      <c r="B83" s="116">
        <f>'AÉREO REGULAR'!$F$129</f>
        <v>0</v>
      </c>
      <c r="C83" s="117">
        <f>'AÉREO REGULAR'!$G$129</f>
        <v>0</v>
      </c>
      <c r="D83" s="118">
        <f>IF('AÉREO REGULAR'!$A$127=0,'AÉREO REGULAR'!H131,IF('AÉREO REGULAR'!$A$127=1,'AÉREO REGULAR'!H130,'AÉREO REGULAR'!H129))</f>
        <v>0</v>
      </c>
      <c r="E83" s="119">
        <f>'AÉREO REGULAR'!$I$129</f>
        <v>0</v>
      </c>
      <c r="F83" s="149">
        <f>IF('AÉREO REGULAR'!$A$127=0,'AÉREO REGULAR'!J131,IF('AÉREO REGULAR'!$A$127=1,'AÉREO REGULAR'!J130,'AÉREO REGULAR'!J129))</f>
        <v>0</v>
      </c>
      <c r="G83" s="122">
        <f>'AÉREO REGULAR'!$F$133</f>
        <v>0</v>
      </c>
      <c r="H83" s="123">
        <f>'AÉREO REGULAR'!$G$133</f>
        <v>0</v>
      </c>
      <c r="I83" s="120">
        <f>IF('AÉREO REGULAR'!$A$128=0,'AÉREO REGULAR'!H135,IF('AÉREO REGULAR'!$A$128=1,'AÉREO REGULAR'!H134,'AÉREO REGULAR'!H133))</f>
        <v>0</v>
      </c>
      <c r="J83" s="119">
        <f>'AÉREO REGULAR'!$I$133</f>
        <v>0</v>
      </c>
      <c r="K83" s="119">
        <f>IF('AÉREO REGULAR'!$A$128=0,'AÉREO REGULAR'!J135,IF('AÉREO REGULAR'!$A$128=1,'AÉREO REGULAR'!J134,'AÉREO REGULAR'!J133))</f>
        <v>0</v>
      </c>
    </row>
    <row r="84" spans="1:11" x14ac:dyDescent="0.3">
      <c r="A84" s="66">
        <f>'AÉREO REGULAR'!U131</f>
        <v>0</v>
      </c>
      <c r="B84" s="116">
        <f>'AÉREO REGULAR'!$F$129</f>
        <v>0</v>
      </c>
      <c r="C84" s="117">
        <f>'AÉREO REGULAR'!$G$129</f>
        <v>0</v>
      </c>
      <c r="D84" s="118">
        <f>$D$83</f>
        <v>0</v>
      </c>
      <c r="E84" s="119">
        <f>'AÉREO REGULAR'!$I$129</f>
        <v>0</v>
      </c>
      <c r="F84" s="152">
        <f>$F$83</f>
        <v>0</v>
      </c>
      <c r="G84" s="122">
        <f>'AÉREO REGULAR'!$F$133</f>
        <v>0</v>
      </c>
      <c r="H84" s="123">
        <f>'AÉREO REGULAR'!$G$133</f>
        <v>0</v>
      </c>
      <c r="I84" s="120">
        <f>$I$83</f>
        <v>0</v>
      </c>
      <c r="J84" s="119">
        <f>'AÉREO REGULAR'!$I$133</f>
        <v>0</v>
      </c>
      <c r="K84" s="119">
        <f>$K$83</f>
        <v>0</v>
      </c>
    </row>
    <row r="85" spans="1:11" x14ac:dyDescent="0.3">
      <c r="A85" s="66">
        <f>'AÉREO REGULAR'!U132</f>
        <v>0</v>
      </c>
      <c r="B85" s="116">
        <f>'AÉREO REGULAR'!$F$129</f>
        <v>0</v>
      </c>
      <c r="C85" s="117">
        <f>'AÉREO REGULAR'!$G$129</f>
        <v>0</v>
      </c>
      <c r="D85" s="118">
        <f t="shared" ref="D85:D92" si="35">$D$83</f>
        <v>0</v>
      </c>
      <c r="E85" s="119">
        <f>'AÉREO REGULAR'!$I$129</f>
        <v>0</v>
      </c>
      <c r="F85" s="152">
        <f t="shared" ref="F85:F92" si="36">$F$83</f>
        <v>0</v>
      </c>
      <c r="G85" s="122">
        <f>'AÉREO REGULAR'!$F$133</f>
        <v>0</v>
      </c>
      <c r="H85" s="123">
        <f>'AÉREO REGULAR'!$G$133</f>
        <v>0</v>
      </c>
      <c r="I85" s="120">
        <f t="shared" ref="I85:I92" si="37">$I$83</f>
        <v>0</v>
      </c>
      <c r="J85" s="119">
        <f>'AÉREO REGULAR'!$I$133</f>
        <v>0</v>
      </c>
      <c r="K85" s="119">
        <f t="shared" ref="K85:K92" si="38">$K$83</f>
        <v>0</v>
      </c>
    </row>
    <row r="86" spans="1:11" x14ac:dyDescent="0.3">
      <c r="A86" s="66">
        <f>'AÉREO REGULAR'!U133</f>
        <v>0</v>
      </c>
      <c r="B86" s="116">
        <f>'AÉREO REGULAR'!$F$129</f>
        <v>0</v>
      </c>
      <c r="C86" s="117">
        <f>'AÉREO REGULAR'!$G$129</f>
        <v>0</v>
      </c>
      <c r="D86" s="118">
        <f t="shared" si="35"/>
        <v>0</v>
      </c>
      <c r="E86" s="119">
        <f>'AÉREO REGULAR'!$I$129</f>
        <v>0</v>
      </c>
      <c r="F86" s="152">
        <f t="shared" si="36"/>
        <v>0</v>
      </c>
      <c r="G86" s="122">
        <f>'AÉREO REGULAR'!$F$133</f>
        <v>0</v>
      </c>
      <c r="H86" s="123">
        <f>'AÉREO REGULAR'!$G$133</f>
        <v>0</v>
      </c>
      <c r="I86" s="120">
        <f t="shared" si="37"/>
        <v>0</v>
      </c>
      <c r="J86" s="119">
        <f>'AÉREO REGULAR'!$I$133</f>
        <v>0</v>
      </c>
      <c r="K86" s="119">
        <f t="shared" si="38"/>
        <v>0</v>
      </c>
    </row>
    <row r="87" spans="1:11" x14ac:dyDescent="0.3">
      <c r="A87" s="66">
        <f>'AÉREO REGULAR'!U134</f>
        <v>0</v>
      </c>
      <c r="B87" s="116">
        <f>'AÉREO REGULAR'!$F$129</f>
        <v>0</v>
      </c>
      <c r="C87" s="117">
        <f>'AÉREO REGULAR'!$G$129</f>
        <v>0</v>
      </c>
      <c r="D87" s="118">
        <f t="shared" si="35"/>
        <v>0</v>
      </c>
      <c r="E87" s="119">
        <f>'AÉREO REGULAR'!$I$129</f>
        <v>0</v>
      </c>
      <c r="F87" s="152">
        <f t="shared" si="36"/>
        <v>0</v>
      </c>
      <c r="G87" s="122">
        <f>'AÉREO REGULAR'!$F$133</f>
        <v>0</v>
      </c>
      <c r="H87" s="123">
        <f>'AÉREO REGULAR'!$G$133</f>
        <v>0</v>
      </c>
      <c r="I87" s="120">
        <f t="shared" si="37"/>
        <v>0</v>
      </c>
      <c r="J87" s="119">
        <f>'AÉREO REGULAR'!$I$133</f>
        <v>0</v>
      </c>
      <c r="K87" s="119">
        <f t="shared" si="38"/>
        <v>0</v>
      </c>
    </row>
    <row r="88" spans="1:11" x14ac:dyDescent="0.3">
      <c r="A88" s="66">
        <f>'AÉREO REGULAR'!U135</f>
        <v>0</v>
      </c>
      <c r="B88" s="116">
        <f>'AÉREO REGULAR'!$F$129</f>
        <v>0</v>
      </c>
      <c r="C88" s="117">
        <f>'AÉREO REGULAR'!$G$129</f>
        <v>0</v>
      </c>
      <c r="D88" s="118">
        <f t="shared" si="35"/>
        <v>0</v>
      </c>
      <c r="E88" s="119">
        <f>'AÉREO REGULAR'!$I$129</f>
        <v>0</v>
      </c>
      <c r="F88" s="152">
        <f t="shared" si="36"/>
        <v>0</v>
      </c>
      <c r="G88" s="122">
        <f>'AÉREO REGULAR'!$F$133</f>
        <v>0</v>
      </c>
      <c r="H88" s="123">
        <f>'AÉREO REGULAR'!$G$133</f>
        <v>0</v>
      </c>
      <c r="I88" s="120">
        <f t="shared" si="37"/>
        <v>0</v>
      </c>
      <c r="J88" s="119">
        <f>'AÉREO REGULAR'!$I$133</f>
        <v>0</v>
      </c>
      <c r="K88" s="119">
        <f t="shared" si="38"/>
        <v>0</v>
      </c>
    </row>
    <row r="89" spans="1:11" x14ac:dyDescent="0.3">
      <c r="A89" s="66">
        <f>'AÉREO REGULAR'!U136</f>
        <v>0</v>
      </c>
      <c r="B89" s="116">
        <f>'AÉREO REGULAR'!$F$129</f>
        <v>0</v>
      </c>
      <c r="C89" s="117">
        <f>'AÉREO REGULAR'!$G$129</f>
        <v>0</v>
      </c>
      <c r="D89" s="118">
        <f t="shared" si="35"/>
        <v>0</v>
      </c>
      <c r="E89" s="119">
        <f>'AÉREO REGULAR'!$I$129</f>
        <v>0</v>
      </c>
      <c r="F89" s="152">
        <f t="shared" si="36"/>
        <v>0</v>
      </c>
      <c r="G89" s="122">
        <f>'AÉREO REGULAR'!$F$133</f>
        <v>0</v>
      </c>
      <c r="H89" s="123">
        <f>'AÉREO REGULAR'!$G$133</f>
        <v>0</v>
      </c>
      <c r="I89" s="120">
        <f t="shared" si="37"/>
        <v>0</v>
      </c>
      <c r="J89" s="119">
        <f>'AÉREO REGULAR'!$I$133</f>
        <v>0</v>
      </c>
      <c r="K89" s="119">
        <f t="shared" si="38"/>
        <v>0</v>
      </c>
    </row>
    <row r="90" spans="1:11" x14ac:dyDescent="0.3">
      <c r="A90" s="66">
        <f>'AÉREO REGULAR'!U137</f>
        <v>0</v>
      </c>
      <c r="B90" s="116">
        <f>'AÉREO REGULAR'!$F$129</f>
        <v>0</v>
      </c>
      <c r="C90" s="117">
        <f>'AÉREO REGULAR'!$G$129</f>
        <v>0</v>
      </c>
      <c r="D90" s="118">
        <f t="shared" si="35"/>
        <v>0</v>
      </c>
      <c r="E90" s="119">
        <f>'AÉREO REGULAR'!$I$129</f>
        <v>0</v>
      </c>
      <c r="F90" s="152">
        <f t="shared" si="36"/>
        <v>0</v>
      </c>
      <c r="G90" s="122">
        <f>'AÉREO REGULAR'!$F$133</f>
        <v>0</v>
      </c>
      <c r="H90" s="123">
        <f>'AÉREO REGULAR'!$G$133</f>
        <v>0</v>
      </c>
      <c r="I90" s="120">
        <f t="shared" si="37"/>
        <v>0</v>
      </c>
      <c r="J90" s="119">
        <f>'AÉREO REGULAR'!$I$133</f>
        <v>0</v>
      </c>
      <c r="K90" s="119">
        <f t="shared" si="38"/>
        <v>0</v>
      </c>
    </row>
    <row r="91" spans="1:11" x14ac:dyDescent="0.3">
      <c r="A91" s="66">
        <f>'AÉREO REGULAR'!U138</f>
        <v>0</v>
      </c>
      <c r="B91" s="116">
        <f>'AÉREO REGULAR'!$F$129</f>
        <v>0</v>
      </c>
      <c r="C91" s="117">
        <f>'AÉREO REGULAR'!$G$129</f>
        <v>0</v>
      </c>
      <c r="D91" s="118">
        <f t="shared" si="35"/>
        <v>0</v>
      </c>
      <c r="E91" s="119">
        <f>'AÉREO REGULAR'!$I$129</f>
        <v>0</v>
      </c>
      <c r="F91" s="152">
        <f t="shared" si="36"/>
        <v>0</v>
      </c>
      <c r="G91" s="122">
        <f>'AÉREO REGULAR'!$F$133</f>
        <v>0</v>
      </c>
      <c r="H91" s="123">
        <f>'AÉREO REGULAR'!$G$133</f>
        <v>0</v>
      </c>
      <c r="I91" s="120">
        <f t="shared" si="37"/>
        <v>0</v>
      </c>
      <c r="J91" s="119">
        <f>'AÉREO REGULAR'!$I$133</f>
        <v>0</v>
      </c>
      <c r="K91" s="119">
        <f t="shared" si="38"/>
        <v>0</v>
      </c>
    </row>
    <row r="92" spans="1:11" x14ac:dyDescent="0.3">
      <c r="A92" s="66">
        <f>'AÉREO REGULAR'!U139</f>
        <v>0</v>
      </c>
      <c r="B92" s="116">
        <f>'AÉREO REGULAR'!$F$129</f>
        <v>0</v>
      </c>
      <c r="C92" s="117">
        <f>'AÉREO REGULAR'!$G$129</f>
        <v>0</v>
      </c>
      <c r="D92" s="118">
        <f t="shared" si="35"/>
        <v>0</v>
      </c>
      <c r="E92" s="119">
        <f>'AÉREO REGULAR'!$I$129</f>
        <v>0</v>
      </c>
      <c r="F92" s="152">
        <f t="shared" si="36"/>
        <v>0</v>
      </c>
      <c r="G92" s="122">
        <f>'AÉREO REGULAR'!$F$133</f>
        <v>0</v>
      </c>
      <c r="H92" s="123">
        <f>'AÉREO REGULAR'!$G$133</f>
        <v>0</v>
      </c>
      <c r="I92" s="120">
        <f t="shared" si="37"/>
        <v>0</v>
      </c>
      <c r="J92" s="119">
        <f>'AÉREO REGULAR'!$I$133</f>
        <v>0</v>
      </c>
      <c r="K92" s="119">
        <f t="shared" si="38"/>
        <v>0</v>
      </c>
    </row>
    <row r="93" spans="1:11" ht="14.5" x14ac:dyDescent="0.35">
      <c r="A93" s="66">
        <f>'AÉREO REGULAR'!U145</f>
        <v>0</v>
      </c>
      <c r="B93" s="116">
        <f>'AÉREO REGULAR'!$F$144</f>
        <v>0</v>
      </c>
      <c r="C93" s="117">
        <f>'AÉREO REGULAR'!$G$144</f>
        <v>0</v>
      </c>
      <c r="D93" s="118">
        <f>IF('AÉREO REGULAR'!$A$142=0,'AÉREO REGULAR'!H146,IF('AÉREO REGULAR'!$A$142=1,'AÉREO REGULAR'!H145,'AÉREO REGULAR'!H144))</f>
        <v>0</v>
      </c>
      <c r="E93" s="119">
        <f>'AÉREO REGULAR'!$I$144</f>
        <v>0</v>
      </c>
      <c r="F93" s="149">
        <f>IF('AÉREO REGULAR'!$A$142=0,'AÉREO REGULAR'!J146,IF('AÉREO REGULAR'!$A$142=1,'AÉREO REGULAR'!J145,'AÉREO REGULAR'!J144))</f>
        <v>0</v>
      </c>
      <c r="G93" s="122">
        <f>'AÉREO REGULAR'!$F$148</f>
        <v>0</v>
      </c>
      <c r="H93" s="123">
        <f>'AÉREO REGULAR'!$G$148</f>
        <v>0</v>
      </c>
      <c r="I93" s="150">
        <f>IF('AÉREO REGULAR'!$A$143=0,'AÉREO REGULAR'!H150,IF('AÉREO REGULAR'!$A$143=1,'AÉREO REGULAR'!H149,'AÉREO REGULAR'!H148))</f>
        <v>0</v>
      </c>
      <c r="J93" s="119">
        <f>'AÉREO REGULAR'!$I$148</f>
        <v>0</v>
      </c>
      <c r="K93" s="149">
        <f>IF('AÉREO REGULAR'!$A$143=0,'AÉREO REGULAR'!J150,IF('AÉREO REGULAR'!$A$143=1,'AÉREO REGULAR'!J149,'AÉREO REGULAR'!J148))</f>
        <v>0</v>
      </c>
    </row>
    <row r="94" spans="1:11" x14ac:dyDescent="0.3">
      <c r="A94" s="66">
        <f>'AÉREO REGULAR'!U146</f>
        <v>0</v>
      </c>
      <c r="B94" s="116">
        <f>'AÉREO REGULAR'!$F$144</f>
        <v>0</v>
      </c>
      <c r="C94" s="117">
        <f>'AÉREO REGULAR'!$G$144</f>
        <v>0</v>
      </c>
      <c r="D94" s="118">
        <f>$D$93</f>
        <v>0</v>
      </c>
      <c r="E94" s="119">
        <f>'AÉREO REGULAR'!$I$144</f>
        <v>0</v>
      </c>
      <c r="F94" s="152">
        <f>$F$93</f>
        <v>0</v>
      </c>
      <c r="G94" s="122">
        <f>'AÉREO REGULAR'!$F$148</f>
        <v>0</v>
      </c>
      <c r="H94" s="123">
        <f>'AÉREO REGULAR'!$G$148</f>
        <v>0</v>
      </c>
      <c r="I94" s="120">
        <f>$I$93</f>
        <v>0</v>
      </c>
      <c r="J94" s="119">
        <f>'AÉREO REGULAR'!$I$148</f>
        <v>0</v>
      </c>
      <c r="K94" s="152">
        <f>$K$93</f>
        <v>0</v>
      </c>
    </row>
    <row r="95" spans="1:11" x14ac:dyDescent="0.3">
      <c r="A95" s="66">
        <f>'AÉREO REGULAR'!U147</f>
        <v>0</v>
      </c>
      <c r="B95" s="116">
        <f>'AÉREO REGULAR'!$F$144</f>
        <v>0</v>
      </c>
      <c r="C95" s="117">
        <f>'AÉREO REGULAR'!$G$144</f>
        <v>0</v>
      </c>
      <c r="D95" s="118">
        <f t="shared" ref="D95:D102" si="39">$D$93</f>
        <v>0</v>
      </c>
      <c r="E95" s="119">
        <f>'AÉREO REGULAR'!$I$144</f>
        <v>0</v>
      </c>
      <c r="F95" s="152">
        <f t="shared" ref="F95:F102" si="40">$F$93</f>
        <v>0</v>
      </c>
      <c r="G95" s="122">
        <f>'AÉREO REGULAR'!$F$148</f>
        <v>0</v>
      </c>
      <c r="H95" s="123">
        <f>'AÉREO REGULAR'!$G$148</f>
        <v>0</v>
      </c>
      <c r="I95" s="120">
        <f t="shared" ref="I95:I102" si="41">$I$93</f>
        <v>0</v>
      </c>
      <c r="J95" s="119">
        <f>'AÉREO REGULAR'!$I$148</f>
        <v>0</v>
      </c>
      <c r="K95" s="152">
        <f t="shared" ref="K95:K102" si="42">$K$93</f>
        <v>0</v>
      </c>
    </row>
    <row r="96" spans="1:11" x14ac:dyDescent="0.3">
      <c r="A96" s="66">
        <f>'AÉREO REGULAR'!U148</f>
        <v>0</v>
      </c>
      <c r="B96" s="116">
        <f>'AÉREO REGULAR'!$F$144</f>
        <v>0</v>
      </c>
      <c r="C96" s="117">
        <f>'AÉREO REGULAR'!$G$144</f>
        <v>0</v>
      </c>
      <c r="D96" s="118">
        <f t="shared" si="39"/>
        <v>0</v>
      </c>
      <c r="E96" s="119">
        <f>'AÉREO REGULAR'!$I$144</f>
        <v>0</v>
      </c>
      <c r="F96" s="152">
        <f t="shared" si="40"/>
        <v>0</v>
      </c>
      <c r="G96" s="122">
        <f>'AÉREO REGULAR'!$F$148</f>
        <v>0</v>
      </c>
      <c r="H96" s="123">
        <f>'AÉREO REGULAR'!$G$148</f>
        <v>0</v>
      </c>
      <c r="I96" s="120">
        <f t="shared" si="41"/>
        <v>0</v>
      </c>
      <c r="J96" s="119">
        <f>'AÉREO REGULAR'!$I$148</f>
        <v>0</v>
      </c>
      <c r="K96" s="152">
        <f t="shared" si="42"/>
        <v>0</v>
      </c>
    </row>
    <row r="97" spans="1:11" x14ac:dyDescent="0.3">
      <c r="A97" s="66">
        <f>'AÉREO REGULAR'!U149</f>
        <v>0</v>
      </c>
      <c r="B97" s="116">
        <f>'AÉREO REGULAR'!$F$144</f>
        <v>0</v>
      </c>
      <c r="C97" s="117">
        <f>'AÉREO REGULAR'!$G$144</f>
        <v>0</v>
      </c>
      <c r="D97" s="118">
        <f t="shared" si="39"/>
        <v>0</v>
      </c>
      <c r="E97" s="119">
        <f>'AÉREO REGULAR'!$I$144</f>
        <v>0</v>
      </c>
      <c r="F97" s="152">
        <f t="shared" si="40"/>
        <v>0</v>
      </c>
      <c r="G97" s="122">
        <f>'AÉREO REGULAR'!$F$148</f>
        <v>0</v>
      </c>
      <c r="H97" s="123">
        <f>'AÉREO REGULAR'!$G$148</f>
        <v>0</v>
      </c>
      <c r="I97" s="120">
        <f t="shared" si="41"/>
        <v>0</v>
      </c>
      <c r="J97" s="119">
        <f>'AÉREO REGULAR'!$I$148</f>
        <v>0</v>
      </c>
      <c r="K97" s="152">
        <f t="shared" si="42"/>
        <v>0</v>
      </c>
    </row>
    <row r="98" spans="1:11" x14ac:dyDescent="0.3">
      <c r="A98" s="66">
        <f>'AÉREO REGULAR'!U150</f>
        <v>0</v>
      </c>
      <c r="B98" s="116">
        <f>'AÉREO REGULAR'!$F$144</f>
        <v>0</v>
      </c>
      <c r="C98" s="117">
        <f>'AÉREO REGULAR'!$G$144</f>
        <v>0</v>
      </c>
      <c r="D98" s="118">
        <f t="shared" si="39"/>
        <v>0</v>
      </c>
      <c r="E98" s="119">
        <f>'AÉREO REGULAR'!$I$144</f>
        <v>0</v>
      </c>
      <c r="F98" s="152">
        <f t="shared" si="40"/>
        <v>0</v>
      </c>
      <c r="G98" s="122">
        <f>'AÉREO REGULAR'!$F$148</f>
        <v>0</v>
      </c>
      <c r="H98" s="123">
        <f>'AÉREO REGULAR'!$G$148</f>
        <v>0</v>
      </c>
      <c r="I98" s="120">
        <f t="shared" si="41"/>
        <v>0</v>
      </c>
      <c r="J98" s="119">
        <f>'AÉREO REGULAR'!$I$148</f>
        <v>0</v>
      </c>
      <c r="K98" s="152">
        <f t="shared" si="42"/>
        <v>0</v>
      </c>
    </row>
    <row r="99" spans="1:11" x14ac:dyDescent="0.3">
      <c r="A99" s="66">
        <f>'AÉREO REGULAR'!U151</f>
        <v>0</v>
      </c>
      <c r="B99" s="116">
        <f>'AÉREO REGULAR'!$F$144</f>
        <v>0</v>
      </c>
      <c r="C99" s="117">
        <f>'AÉREO REGULAR'!$G$144</f>
        <v>0</v>
      </c>
      <c r="D99" s="118">
        <f t="shared" si="39"/>
        <v>0</v>
      </c>
      <c r="E99" s="119">
        <f>'AÉREO REGULAR'!$I$144</f>
        <v>0</v>
      </c>
      <c r="F99" s="152">
        <f t="shared" si="40"/>
        <v>0</v>
      </c>
      <c r="G99" s="122">
        <f>'AÉREO REGULAR'!$F$148</f>
        <v>0</v>
      </c>
      <c r="H99" s="123">
        <f>'AÉREO REGULAR'!$G$148</f>
        <v>0</v>
      </c>
      <c r="I99" s="120">
        <f t="shared" si="41"/>
        <v>0</v>
      </c>
      <c r="J99" s="119">
        <f>'AÉREO REGULAR'!$I$148</f>
        <v>0</v>
      </c>
      <c r="K99" s="152">
        <f t="shared" si="42"/>
        <v>0</v>
      </c>
    </row>
    <row r="100" spans="1:11" x14ac:dyDescent="0.3">
      <c r="A100" s="66">
        <f>'AÉREO REGULAR'!U152</f>
        <v>0</v>
      </c>
      <c r="B100" s="116">
        <f>'AÉREO REGULAR'!$F$144</f>
        <v>0</v>
      </c>
      <c r="C100" s="117">
        <f>'AÉREO REGULAR'!$G$144</f>
        <v>0</v>
      </c>
      <c r="D100" s="118">
        <f t="shared" si="39"/>
        <v>0</v>
      </c>
      <c r="E100" s="119">
        <f>'AÉREO REGULAR'!$I$144</f>
        <v>0</v>
      </c>
      <c r="F100" s="152">
        <f t="shared" si="40"/>
        <v>0</v>
      </c>
      <c r="G100" s="122">
        <f>'AÉREO REGULAR'!$F$148</f>
        <v>0</v>
      </c>
      <c r="H100" s="123">
        <f>'AÉREO REGULAR'!$G$148</f>
        <v>0</v>
      </c>
      <c r="I100" s="120">
        <f t="shared" si="41"/>
        <v>0</v>
      </c>
      <c r="J100" s="119">
        <f>'AÉREO REGULAR'!$I$148</f>
        <v>0</v>
      </c>
      <c r="K100" s="152">
        <f t="shared" si="42"/>
        <v>0</v>
      </c>
    </row>
    <row r="101" spans="1:11" x14ac:dyDescent="0.3">
      <c r="A101" s="66">
        <f>'AÉREO REGULAR'!U153</f>
        <v>0</v>
      </c>
      <c r="B101" s="116">
        <f>'AÉREO REGULAR'!$F$144</f>
        <v>0</v>
      </c>
      <c r="C101" s="117">
        <f>'AÉREO REGULAR'!$G$144</f>
        <v>0</v>
      </c>
      <c r="D101" s="118">
        <f t="shared" si="39"/>
        <v>0</v>
      </c>
      <c r="E101" s="119">
        <f>'AÉREO REGULAR'!$I$144</f>
        <v>0</v>
      </c>
      <c r="F101" s="152">
        <f t="shared" si="40"/>
        <v>0</v>
      </c>
      <c r="G101" s="122">
        <f>'AÉREO REGULAR'!$F$148</f>
        <v>0</v>
      </c>
      <c r="H101" s="123">
        <f>'AÉREO REGULAR'!$G$148</f>
        <v>0</v>
      </c>
      <c r="I101" s="120">
        <f t="shared" si="41"/>
        <v>0</v>
      </c>
      <c r="J101" s="119">
        <f>'AÉREO REGULAR'!$I$148</f>
        <v>0</v>
      </c>
      <c r="K101" s="152">
        <f t="shared" si="42"/>
        <v>0</v>
      </c>
    </row>
    <row r="102" spans="1:11" x14ac:dyDescent="0.3">
      <c r="A102" s="66">
        <f>'AÉREO REGULAR'!U154</f>
        <v>0</v>
      </c>
      <c r="B102" s="116">
        <f>'AÉREO REGULAR'!$F$144</f>
        <v>0</v>
      </c>
      <c r="C102" s="117">
        <f>'AÉREO REGULAR'!$G$144</f>
        <v>0</v>
      </c>
      <c r="D102" s="118">
        <f t="shared" si="39"/>
        <v>0</v>
      </c>
      <c r="E102" s="119">
        <f>'AÉREO REGULAR'!$I$144</f>
        <v>0</v>
      </c>
      <c r="F102" s="152">
        <f t="shared" si="40"/>
        <v>0</v>
      </c>
      <c r="G102" s="122">
        <f>'AÉREO REGULAR'!$F$148</f>
        <v>0</v>
      </c>
      <c r="H102" s="123">
        <f>'AÉREO REGULAR'!$G$148</f>
        <v>0</v>
      </c>
      <c r="I102" s="120">
        <f t="shared" si="41"/>
        <v>0</v>
      </c>
      <c r="J102" s="119">
        <f>'AÉREO REGULAR'!$I$148</f>
        <v>0</v>
      </c>
      <c r="K102" s="152">
        <f t="shared" si="42"/>
        <v>0</v>
      </c>
    </row>
    <row r="103" spans="1:11" ht="14.5" x14ac:dyDescent="0.35">
      <c r="B103"/>
      <c r="C103" s="67"/>
      <c r="D103" s="67"/>
      <c r="E103"/>
      <c r="F103"/>
      <c r="G103"/>
      <c r="H103"/>
      <c r="I103"/>
      <c r="J103"/>
      <c r="K103"/>
    </row>
    <row r="122" spans="1:2" x14ac:dyDescent="0.3">
      <c r="A122" s="67"/>
      <c r="B122" s="67"/>
    </row>
    <row r="123" spans="1:2" x14ac:dyDescent="0.3">
      <c r="A123" s="67"/>
      <c r="B123" s="67"/>
    </row>
    <row r="124" spans="1:2" x14ac:dyDescent="0.3">
      <c r="A124" s="67"/>
      <c r="B124" s="67"/>
    </row>
  </sheetData>
  <mergeCells count="2">
    <mergeCell ref="B1:F1"/>
    <mergeCell ref="G1:K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126F-136D-4802-8D8C-603642142750}">
  <dimension ref="B1:J180"/>
  <sheetViews>
    <sheetView workbookViewId="0">
      <selection activeCell="I7" sqref="I7"/>
    </sheetView>
  </sheetViews>
  <sheetFormatPr defaultRowHeight="14.5" x14ac:dyDescent="0.35"/>
  <cols>
    <col min="4" max="4" width="18.7265625" customWidth="1"/>
    <col min="5" max="5" width="9.54296875" customWidth="1"/>
    <col min="6" max="6" width="15.1796875" customWidth="1"/>
    <col min="7" max="7" width="13.453125" customWidth="1"/>
    <col min="8" max="8" width="13.81640625" customWidth="1"/>
    <col min="10" max="10" width="10.81640625" customWidth="1"/>
  </cols>
  <sheetData>
    <row r="1" spans="2:10" x14ac:dyDescent="0.35">
      <c r="B1" s="26" t="s">
        <v>20</v>
      </c>
      <c r="C1" s="27" t="s">
        <v>93</v>
      </c>
      <c r="D1" s="28" t="s">
        <v>94</v>
      </c>
      <c r="E1" s="2" t="s">
        <v>95</v>
      </c>
      <c r="F1" s="31" t="s">
        <v>96</v>
      </c>
      <c r="G1" t="s">
        <v>97</v>
      </c>
      <c r="H1" t="s">
        <v>51</v>
      </c>
      <c r="J1" t="s">
        <v>98</v>
      </c>
    </row>
    <row r="2" spans="2:10" x14ac:dyDescent="0.35">
      <c r="B2" s="2"/>
      <c r="C2" s="29">
        <v>0</v>
      </c>
      <c r="D2" s="18"/>
      <c r="E2" s="32">
        <f ca="1">TODAY()</f>
        <v>46127</v>
      </c>
      <c r="F2" s="33" t="s">
        <v>99</v>
      </c>
      <c r="G2" t="s">
        <v>49</v>
      </c>
      <c r="H2" t="s">
        <v>100</v>
      </c>
      <c r="J2" s="35" t="s">
        <v>101</v>
      </c>
    </row>
    <row r="3" spans="2:10" x14ac:dyDescent="0.35">
      <c r="B3" s="2" t="s">
        <v>56</v>
      </c>
      <c r="C3" s="29">
        <v>0.06</v>
      </c>
      <c r="D3" s="34" t="s">
        <v>102</v>
      </c>
      <c r="E3" s="32">
        <f ca="1">E2+1</f>
        <v>46128</v>
      </c>
      <c r="F3" s="33" t="s">
        <v>103</v>
      </c>
      <c r="G3" t="s">
        <v>104</v>
      </c>
      <c r="H3" t="s">
        <v>105</v>
      </c>
      <c r="J3" s="35" t="s">
        <v>7</v>
      </c>
    </row>
    <row r="4" spans="2:10" x14ac:dyDescent="0.35">
      <c r="B4" s="2" t="s">
        <v>25</v>
      </c>
      <c r="C4" s="29">
        <f t="shared" ref="C4:C10" si="0">C3+1%</f>
        <v>6.9999999999999993E-2</v>
      </c>
      <c r="D4" s="18" t="s">
        <v>106</v>
      </c>
      <c r="E4" s="32">
        <f t="shared" ref="E4:E67" ca="1" si="1">E3+1</f>
        <v>46129</v>
      </c>
      <c r="F4" s="33" t="s">
        <v>107</v>
      </c>
      <c r="G4" t="s">
        <v>108</v>
      </c>
      <c r="H4" t="s">
        <v>109</v>
      </c>
      <c r="J4" s="35" t="s">
        <v>53</v>
      </c>
    </row>
    <row r="5" spans="2:10" x14ac:dyDescent="0.35">
      <c r="B5" s="2" t="s">
        <v>110</v>
      </c>
      <c r="C5" s="29">
        <f t="shared" si="0"/>
        <v>7.9999999999999988E-2</v>
      </c>
      <c r="D5" s="18" t="s">
        <v>111</v>
      </c>
      <c r="E5" s="32">
        <f t="shared" ca="1" si="1"/>
        <v>46130</v>
      </c>
      <c r="F5" s="33" t="s">
        <v>112</v>
      </c>
      <c r="G5" t="s">
        <v>113</v>
      </c>
      <c r="H5" t="s">
        <v>114</v>
      </c>
      <c r="J5" s="35" t="s">
        <v>54</v>
      </c>
    </row>
    <row r="6" spans="2:10" x14ac:dyDescent="0.35">
      <c r="B6" s="2"/>
      <c r="C6" s="29">
        <f t="shared" si="0"/>
        <v>8.9999999999999983E-2</v>
      </c>
      <c r="D6" s="18" t="s">
        <v>115</v>
      </c>
      <c r="E6" s="32">
        <f t="shared" ca="1" si="1"/>
        <v>46131</v>
      </c>
      <c r="F6" s="33" t="s">
        <v>116</v>
      </c>
      <c r="H6" t="s">
        <v>52</v>
      </c>
      <c r="J6" s="35" t="s">
        <v>55</v>
      </c>
    </row>
    <row r="7" spans="2:10" x14ac:dyDescent="0.35">
      <c r="B7" s="2"/>
      <c r="C7" s="29">
        <f t="shared" si="0"/>
        <v>9.9999999999999978E-2</v>
      </c>
      <c r="D7" s="18" t="s">
        <v>117</v>
      </c>
      <c r="E7" s="32">
        <f t="shared" ca="1" si="1"/>
        <v>46132</v>
      </c>
      <c r="F7" s="33" t="s">
        <v>118</v>
      </c>
      <c r="J7" s="35" t="s">
        <v>57</v>
      </c>
    </row>
    <row r="8" spans="2:10" x14ac:dyDescent="0.35">
      <c r="B8" s="2"/>
      <c r="C8" s="29">
        <f t="shared" si="0"/>
        <v>0.10999999999999997</v>
      </c>
      <c r="D8" s="18" t="s">
        <v>119</v>
      </c>
      <c r="E8" s="32">
        <f t="shared" ca="1" si="1"/>
        <v>46133</v>
      </c>
      <c r="F8" s="33" t="s">
        <v>120</v>
      </c>
      <c r="J8" s="35" t="s">
        <v>58</v>
      </c>
    </row>
    <row r="9" spans="2:10" x14ac:dyDescent="0.35">
      <c r="B9" s="2"/>
      <c r="C9" s="29">
        <f t="shared" si="0"/>
        <v>0.11999999999999997</v>
      </c>
      <c r="D9" s="18" t="s">
        <v>121</v>
      </c>
      <c r="E9" s="32">
        <f t="shared" ca="1" si="1"/>
        <v>46134</v>
      </c>
      <c r="F9" s="33" t="s">
        <v>122</v>
      </c>
      <c r="J9" s="35" t="s">
        <v>59</v>
      </c>
    </row>
    <row r="10" spans="2:10" x14ac:dyDescent="0.35">
      <c r="B10" s="2"/>
      <c r="C10" s="29">
        <f t="shared" si="0"/>
        <v>0.12999999999999998</v>
      </c>
      <c r="D10" s="18" t="s">
        <v>123</v>
      </c>
      <c r="E10" s="32">
        <f t="shared" ca="1" si="1"/>
        <v>46135</v>
      </c>
      <c r="F10" s="33" t="s">
        <v>124</v>
      </c>
      <c r="J10" s="35" t="s">
        <v>60</v>
      </c>
    </row>
    <row r="11" spans="2:10" x14ac:dyDescent="0.35">
      <c r="B11" s="35"/>
      <c r="C11" s="35"/>
      <c r="D11" s="35"/>
      <c r="E11" s="32">
        <f t="shared" ca="1" si="1"/>
        <v>46136</v>
      </c>
      <c r="F11" s="33" t="s">
        <v>125</v>
      </c>
      <c r="J11" s="35" t="s">
        <v>61</v>
      </c>
    </row>
    <row r="12" spans="2:10" x14ac:dyDescent="0.35">
      <c r="E12" s="30">
        <f t="shared" ca="1" si="1"/>
        <v>46137</v>
      </c>
      <c r="J12" s="35" t="s">
        <v>62</v>
      </c>
    </row>
    <row r="13" spans="2:10" x14ac:dyDescent="0.35">
      <c r="E13" s="30">
        <f t="shared" ca="1" si="1"/>
        <v>46138</v>
      </c>
    </row>
    <row r="14" spans="2:10" x14ac:dyDescent="0.35">
      <c r="E14" s="30">
        <f t="shared" ca="1" si="1"/>
        <v>46139</v>
      </c>
    </row>
    <row r="15" spans="2:10" x14ac:dyDescent="0.35">
      <c r="E15" s="30">
        <f t="shared" ca="1" si="1"/>
        <v>46140</v>
      </c>
    </row>
    <row r="16" spans="2:10" x14ac:dyDescent="0.35">
      <c r="E16" s="30">
        <f t="shared" ca="1" si="1"/>
        <v>46141</v>
      </c>
    </row>
    <row r="17" spans="5:5" x14ac:dyDescent="0.35">
      <c r="E17" s="30">
        <f t="shared" ca="1" si="1"/>
        <v>46142</v>
      </c>
    </row>
    <row r="18" spans="5:5" x14ac:dyDescent="0.35">
      <c r="E18" s="30">
        <f t="shared" ca="1" si="1"/>
        <v>46143</v>
      </c>
    </row>
    <row r="19" spans="5:5" x14ac:dyDescent="0.35">
      <c r="E19" s="30">
        <f t="shared" ca="1" si="1"/>
        <v>46144</v>
      </c>
    </row>
    <row r="20" spans="5:5" x14ac:dyDescent="0.35">
      <c r="E20" s="30">
        <f t="shared" ca="1" si="1"/>
        <v>46145</v>
      </c>
    </row>
    <row r="21" spans="5:5" x14ac:dyDescent="0.35">
      <c r="E21" s="30">
        <f t="shared" ca="1" si="1"/>
        <v>46146</v>
      </c>
    </row>
    <row r="22" spans="5:5" x14ac:dyDescent="0.35">
      <c r="E22" s="30">
        <f t="shared" ca="1" si="1"/>
        <v>46147</v>
      </c>
    </row>
    <row r="23" spans="5:5" x14ac:dyDescent="0.35">
      <c r="E23" s="30">
        <f t="shared" ca="1" si="1"/>
        <v>46148</v>
      </c>
    </row>
    <row r="24" spans="5:5" x14ac:dyDescent="0.35">
      <c r="E24" s="30">
        <f t="shared" ca="1" si="1"/>
        <v>46149</v>
      </c>
    </row>
    <row r="25" spans="5:5" x14ac:dyDescent="0.35">
      <c r="E25" s="30">
        <f t="shared" ca="1" si="1"/>
        <v>46150</v>
      </c>
    </row>
    <row r="26" spans="5:5" x14ac:dyDescent="0.35">
      <c r="E26" s="30">
        <f t="shared" ca="1" si="1"/>
        <v>46151</v>
      </c>
    </row>
    <row r="27" spans="5:5" x14ac:dyDescent="0.35">
      <c r="E27" s="30">
        <f t="shared" ca="1" si="1"/>
        <v>46152</v>
      </c>
    </row>
    <row r="28" spans="5:5" x14ac:dyDescent="0.35">
      <c r="E28" s="30">
        <f t="shared" ca="1" si="1"/>
        <v>46153</v>
      </c>
    </row>
    <row r="29" spans="5:5" x14ac:dyDescent="0.35">
      <c r="E29" s="30">
        <f t="shared" ca="1" si="1"/>
        <v>46154</v>
      </c>
    </row>
    <row r="30" spans="5:5" x14ac:dyDescent="0.35">
      <c r="E30" s="30">
        <f t="shared" ca="1" si="1"/>
        <v>46155</v>
      </c>
    </row>
    <row r="31" spans="5:5" x14ac:dyDescent="0.35">
      <c r="E31" s="30">
        <f t="shared" ca="1" si="1"/>
        <v>46156</v>
      </c>
    </row>
    <row r="32" spans="5:5" x14ac:dyDescent="0.35">
      <c r="E32" s="30">
        <f t="shared" ca="1" si="1"/>
        <v>46157</v>
      </c>
    </row>
    <row r="33" spans="5:5" x14ac:dyDescent="0.35">
      <c r="E33" s="30">
        <f t="shared" ca="1" si="1"/>
        <v>46158</v>
      </c>
    </row>
    <row r="34" spans="5:5" x14ac:dyDescent="0.35">
      <c r="E34" s="30">
        <f t="shared" ca="1" si="1"/>
        <v>46159</v>
      </c>
    </row>
    <row r="35" spans="5:5" x14ac:dyDescent="0.35">
      <c r="E35" s="30">
        <f t="shared" ca="1" si="1"/>
        <v>46160</v>
      </c>
    </row>
    <row r="36" spans="5:5" x14ac:dyDescent="0.35">
      <c r="E36" s="30">
        <f t="shared" ca="1" si="1"/>
        <v>46161</v>
      </c>
    </row>
    <row r="37" spans="5:5" x14ac:dyDescent="0.35">
      <c r="E37" s="30">
        <f t="shared" ca="1" si="1"/>
        <v>46162</v>
      </c>
    </row>
    <row r="38" spans="5:5" x14ac:dyDescent="0.35">
      <c r="E38" s="30">
        <f t="shared" ca="1" si="1"/>
        <v>46163</v>
      </c>
    </row>
    <row r="39" spans="5:5" x14ac:dyDescent="0.35">
      <c r="E39" s="30">
        <f t="shared" ca="1" si="1"/>
        <v>46164</v>
      </c>
    </row>
    <row r="40" spans="5:5" x14ac:dyDescent="0.35">
      <c r="E40" s="30">
        <f t="shared" ca="1" si="1"/>
        <v>46165</v>
      </c>
    </row>
    <row r="41" spans="5:5" x14ac:dyDescent="0.35">
      <c r="E41" s="30">
        <f t="shared" ca="1" si="1"/>
        <v>46166</v>
      </c>
    </row>
    <row r="42" spans="5:5" x14ac:dyDescent="0.35">
      <c r="E42" s="30">
        <f t="shared" ca="1" si="1"/>
        <v>46167</v>
      </c>
    </row>
    <row r="43" spans="5:5" x14ac:dyDescent="0.35">
      <c r="E43" s="30">
        <f t="shared" ca="1" si="1"/>
        <v>46168</v>
      </c>
    </row>
    <row r="44" spans="5:5" x14ac:dyDescent="0.35">
      <c r="E44" s="30">
        <f t="shared" ca="1" si="1"/>
        <v>46169</v>
      </c>
    </row>
    <row r="45" spans="5:5" x14ac:dyDescent="0.35">
      <c r="E45" s="30">
        <f t="shared" ca="1" si="1"/>
        <v>46170</v>
      </c>
    </row>
    <row r="46" spans="5:5" x14ac:dyDescent="0.35">
      <c r="E46" s="30">
        <f t="shared" ca="1" si="1"/>
        <v>46171</v>
      </c>
    </row>
    <row r="47" spans="5:5" x14ac:dyDescent="0.35">
      <c r="E47" s="30">
        <f t="shared" ca="1" si="1"/>
        <v>46172</v>
      </c>
    </row>
    <row r="48" spans="5:5" x14ac:dyDescent="0.35">
      <c r="E48" s="30">
        <f t="shared" ca="1" si="1"/>
        <v>46173</v>
      </c>
    </row>
    <row r="49" spans="5:5" x14ac:dyDescent="0.35">
      <c r="E49" s="30">
        <f t="shared" ca="1" si="1"/>
        <v>46174</v>
      </c>
    </row>
    <row r="50" spans="5:5" x14ac:dyDescent="0.35">
      <c r="E50" s="30">
        <f t="shared" ca="1" si="1"/>
        <v>46175</v>
      </c>
    </row>
    <row r="51" spans="5:5" x14ac:dyDescent="0.35">
      <c r="E51" s="30">
        <f t="shared" ca="1" si="1"/>
        <v>46176</v>
      </c>
    </row>
    <row r="52" spans="5:5" x14ac:dyDescent="0.35">
      <c r="E52" s="30">
        <f t="shared" ca="1" si="1"/>
        <v>46177</v>
      </c>
    </row>
    <row r="53" spans="5:5" x14ac:dyDescent="0.35">
      <c r="E53" s="30">
        <f t="shared" ca="1" si="1"/>
        <v>46178</v>
      </c>
    </row>
    <row r="54" spans="5:5" x14ac:dyDescent="0.35">
      <c r="E54" s="30">
        <f t="shared" ca="1" si="1"/>
        <v>46179</v>
      </c>
    </row>
    <row r="55" spans="5:5" x14ac:dyDescent="0.35">
      <c r="E55" s="30">
        <f t="shared" ca="1" si="1"/>
        <v>46180</v>
      </c>
    </row>
    <row r="56" spans="5:5" x14ac:dyDescent="0.35">
      <c r="E56" s="30">
        <f t="shared" ca="1" si="1"/>
        <v>46181</v>
      </c>
    </row>
    <row r="57" spans="5:5" x14ac:dyDescent="0.35">
      <c r="E57" s="30">
        <f t="shared" ca="1" si="1"/>
        <v>46182</v>
      </c>
    </row>
    <row r="58" spans="5:5" x14ac:dyDescent="0.35">
      <c r="E58" s="30">
        <f t="shared" ca="1" si="1"/>
        <v>46183</v>
      </c>
    </row>
    <row r="59" spans="5:5" x14ac:dyDescent="0.35">
      <c r="E59" s="30">
        <f t="shared" ca="1" si="1"/>
        <v>46184</v>
      </c>
    </row>
    <row r="60" spans="5:5" x14ac:dyDescent="0.35">
      <c r="E60" s="30">
        <f t="shared" ca="1" si="1"/>
        <v>46185</v>
      </c>
    </row>
    <row r="61" spans="5:5" x14ac:dyDescent="0.35">
      <c r="E61" s="30">
        <f t="shared" ca="1" si="1"/>
        <v>46186</v>
      </c>
    </row>
    <row r="62" spans="5:5" x14ac:dyDescent="0.35">
      <c r="E62" s="30">
        <f t="shared" ca="1" si="1"/>
        <v>46187</v>
      </c>
    </row>
    <row r="63" spans="5:5" x14ac:dyDescent="0.35">
      <c r="E63" s="30">
        <f t="shared" ca="1" si="1"/>
        <v>46188</v>
      </c>
    </row>
    <row r="64" spans="5:5" x14ac:dyDescent="0.35">
      <c r="E64" s="30">
        <f t="shared" ca="1" si="1"/>
        <v>46189</v>
      </c>
    </row>
    <row r="65" spans="5:5" x14ac:dyDescent="0.35">
      <c r="E65" s="30">
        <f t="shared" ca="1" si="1"/>
        <v>46190</v>
      </c>
    </row>
    <row r="66" spans="5:5" x14ac:dyDescent="0.35">
      <c r="E66" s="30">
        <f t="shared" ca="1" si="1"/>
        <v>46191</v>
      </c>
    </row>
    <row r="67" spans="5:5" x14ac:dyDescent="0.35">
      <c r="E67" s="30">
        <f t="shared" ca="1" si="1"/>
        <v>46192</v>
      </c>
    </row>
    <row r="68" spans="5:5" x14ac:dyDescent="0.35">
      <c r="E68" s="30">
        <f t="shared" ref="E68:E131" ca="1" si="2">E67+1</f>
        <v>46193</v>
      </c>
    </row>
    <row r="69" spans="5:5" x14ac:dyDescent="0.35">
      <c r="E69" s="30">
        <f t="shared" ca="1" si="2"/>
        <v>46194</v>
      </c>
    </row>
    <row r="70" spans="5:5" x14ac:dyDescent="0.35">
      <c r="E70" s="30">
        <f t="shared" ca="1" si="2"/>
        <v>46195</v>
      </c>
    </row>
    <row r="71" spans="5:5" x14ac:dyDescent="0.35">
      <c r="E71" s="30">
        <f t="shared" ca="1" si="2"/>
        <v>46196</v>
      </c>
    </row>
    <row r="72" spans="5:5" x14ac:dyDescent="0.35">
      <c r="E72" s="30">
        <f t="shared" ca="1" si="2"/>
        <v>46197</v>
      </c>
    </row>
    <row r="73" spans="5:5" x14ac:dyDescent="0.35">
      <c r="E73" s="30">
        <f t="shared" ca="1" si="2"/>
        <v>46198</v>
      </c>
    </row>
    <row r="74" spans="5:5" x14ac:dyDescent="0.35">
      <c r="E74" s="30">
        <f t="shared" ca="1" si="2"/>
        <v>46199</v>
      </c>
    </row>
    <row r="75" spans="5:5" x14ac:dyDescent="0.35">
      <c r="E75" s="30">
        <f t="shared" ca="1" si="2"/>
        <v>46200</v>
      </c>
    </row>
    <row r="76" spans="5:5" x14ac:dyDescent="0.35">
      <c r="E76" s="30">
        <f t="shared" ca="1" si="2"/>
        <v>46201</v>
      </c>
    </row>
    <row r="77" spans="5:5" x14ac:dyDescent="0.35">
      <c r="E77" s="30">
        <f t="shared" ca="1" si="2"/>
        <v>46202</v>
      </c>
    </row>
    <row r="78" spans="5:5" x14ac:dyDescent="0.35">
      <c r="E78" s="30">
        <f t="shared" ca="1" si="2"/>
        <v>46203</v>
      </c>
    </row>
    <row r="79" spans="5:5" x14ac:dyDescent="0.35">
      <c r="E79" s="30">
        <f t="shared" ca="1" si="2"/>
        <v>46204</v>
      </c>
    </row>
    <row r="80" spans="5:5" x14ac:dyDescent="0.35">
      <c r="E80" s="30">
        <f t="shared" ca="1" si="2"/>
        <v>46205</v>
      </c>
    </row>
    <row r="81" spans="5:5" x14ac:dyDescent="0.35">
      <c r="E81" s="30">
        <f t="shared" ca="1" si="2"/>
        <v>46206</v>
      </c>
    </row>
    <row r="82" spans="5:5" x14ac:dyDescent="0.35">
      <c r="E82" s="30">
        <f t="shared" ca="1" si="2"/>
        <v>46207</v>
      </c>
    </row>
    <row r="83" spans="5:5" x14ac:dyDescent="0.35">
      <c r="E83" s="30">
        <f t="shared" ca="1" si="2"/>
        <v>46208</v>
      </c>
    </row>
    <row r="84" spans="5:5" x14ac:dyDescent="0.35">
      <c r="E84" s="30">
        <f t="shared" ca="1" si="2"/>
        <v>46209</v>
      </c>
    </row>
    <row r="85" spans="5:5" x14ac:dyDescent="0.35">
      <c r="E85" s="30">
        <f t="shared" ca="1" si="2"/>
        <v>46210</v>
      </c>
    </row>
    <row r="86" spans="5:5" x14ac:dyDescent="0.35">
      <c r="E86" s="30">
        <f t="shared" ca="1" si="2"/>
        <v>46211</v>
      </c>
    </row>
    <row r="87" spans="5:5" x14ac:dyDescent="0.35">
      <c r="E87" s="30">
        <f t="shared" ca="1" si="2"/>
        <v>46212</v>
      </c>
    </row>
    <row r="88" spans="5:5" x14ac:dyDescent="0.35">
      <c r="E88" s="30">
        <f t="shared" ca="1" si="2"/>
        <v>46213</v>
      </c>
    </row>
    <row r="89" spans="5:5" x14ac:dyDescent="0.35">
      <c r="E89" s="30">
        <f t="shared" ca="1" si="2"/>
        <v>46214</v>
      </c>
    </row>
    <row r="90" spans="5:5" x14ac:dyDescent="0.35">
      <c r="E90" s="30">
        <f t="shared" ca="1" si="2"/>
        <v>46215</v>
      </c>
    </row>
    <row r="91" spans="5:5" x14ac:dyDescent="0.35">
      <c r="E91" s="30">
        <f t="shared" ca="1" si="2"/>
        <v>46216</v>
      </c>
    </row>
    <row r="92" spans="5:5" x14ac:dyDescent="0.35">
      <c r="E92" s="30">
        <f t="shared" ca="1" si="2"/>
        <v>46217</v>
      </c>
    </row>
    <row r="93" spans="5:5" x14ac:dyDescent="0.35">
      <c r="E93" s="30">
        <f t="shared" ca="1" si="2"/>
        <v>46218</v>
      </c>
    </row>
    <row r="94" spans="5:5" x14ac:dyDescent="0.35">
      <c r="E94" s="30">
        <f t="shared" ca="1" si="2"/>
        <v>46219</v>
      </c>
    </row>
    <row r="95" spans="5:5" x14ac:dyDescent="0.35">
      <c r="E95" s="30">
        <f t="shared" ca="1" si="2"/>
        <v>46220</v>
      </c>
    </row>
    <row r="96" spans="5:5" x14ac:dyDescent="0.35">
      <c r="E96" s="30">
        <f t="shared" ca="1" si="2"/>
        <v>46221</v>
      </c>
    </row>
    <row r="97" spans="5:5" x14ac:dyDescent="0.35">
      <c r="E97" s="30">
        <f t="shared" ca="1" si="2"/>
        <v>46222</v>
      </c>
    </row>
    <row r="98" spans="5:5" x14ac:dyDescent="0.35">
      <c r="E98" s="30">
        <f t="shared" ca="1" si="2"/>
        <v>46223</v>
      </c>
    </row>
    <row r="99" spans="5:5" x14ac:dyDescent="0.35">
      <c r="E99" s="30">
        <f t="shared" ca="1" si="2"/>
        <v>46224</v>
      </c>
    </row>
    <row r="100" spans="5:5" x14ac:dyDescent="0.35">
      <c r="E100" s="30">
        <f t="shared" ca="1" si="2"/>
        <v>46225</v>
      </c>
    </row>
    <row r="101" spans="5:5" x14ac:dyDescent="0.35">
      <c r="E101" s="30">
        <f t="shared" ca="1" si="2"/>
        <v>46226</v>
      </c>
    </row>
    <row r="102" spans="5:5" x14ac:dyDescent="0.35">
      <c r="E102" s="30">
        <f t="shared" ca="1" si="2"/>
        <v>46227</v>
      </c>
    </row>
    <row r="103" spans="5:5" x14ac:dyDescent="0.35">
      <c r="E103" s="30">
        <f t="shared" ca="1" si="2"/>
        <v>46228</v>
      </c>
    </row>
    <row r="104" spans="5:5" x14ac:dyDescent="0.35">
      <c r="E104" s="30">
        <f t="shared" ca="1" si="2"/>
        <v>46229</v>
      </c>
    </row>
    <row r="105" spans="5:5" x14ac:dyDescent="0.35">
      <c r="E105" s="30">
        <f t="shared" ca="1" si="2"/>
        <v>46230</v>
      </c>
    </row>
    <row r="106" spans="5:5" x14ac:dyDescent="0.35">
      <c r="E106" s="30">
        <f t="shared" ca="1" si="2"/>
        <v>46231</v>
      </c>
    </row>
    <row r="107" spans="5:5" x14ac:dyDescent="0.35">
      <c r="E107" s="30">
        <f t="shared" ca="1" si="2"/>
        <v>46232</v>
      </c>
    </row>
    <row r="108" spans="5:5" x14ac:dyDescent="0.35">
      <c r="E108" s="30">
        <f t="shared" ca="1" si="2"/>
        <v>46233</v>
      </c>
    </row>
    <row r="109" spans="5:5" x14ac:dyDescent="0.35">
      <c r="E109" s="30">
        <f t="shared" ca="1" si="2"/>
        <v>46234</v>
      </c>
    </row>
    <row r="110" spans="5:5" x14ac:dyDescent="0.35">
      <c r="E110" s="30">
        <f t="shared" ca="1" si="2"/>
        <v>46235</v>
      </c>
    </row>
    <row r="111" spans="5:5" x14ac:dyDescent="0.35">
      <c r="E111" s="30">
        <f t="shared" ca="1" si="2"/>
        <v>46236</v>
      </c>
    </row>
    <row r="112" spans="5:5" x14ac:dyDescent="0.35">
      <c r="E112" s="30">
        <f t="shared" ca="1" si="2"/>
        <v>46237</v>
      </c>
    </row>
    <row r="113" spans="5:5" x14ac:dyDescent="0.35">
      <c r="E113" s="30">
        <f t="shared" ca="1" si="2"/>
        <v>46238</v>
      </c>
    </row>
    <row r="114" spans="5:5" x14ac:dyDescent="0.35">
      <c r="E114" s="30">
        <f t="shared" ca="1" si="2"/>
        <v>46239</v>
      </c>
    </row>
    <row r="115" spans="5:5" x14ac:dyDescent="0.35">
      <c r="E115" s="30">
        <f t="shared" ca="1" si="2"/>
        <v>46240</v>
      </c>
    </row>
    <row r="116" spans="5:5" x14ac:dyDescent="0.35">
      <c r="E116" s="30">
        <f t="shared" ca="1" si="2"/>
        <v>46241</v>
      </c>
    </row>
    <row r="117" spans="5:5" x14ac:dyDescent="0.35">
      <c r="E117" s="30">
        <f t="shared" ca="1" si="2"/>
        <v>46242</v>
      </c>
    </row>
    <row r="118" spans="5:5" x14ac:dyDescent="0.35">
      <c r="E118" s="30">
        <f t="shared" ca="1" si="2"/>
        <v>46243</v>
      </c>
    </row>
    <row r="119" spans="5:5" x14ac:dyDescent="0.35">
      <c r="E119" s="30">
        <f t="shared" ca="1" si="2"/>
        <v>46244</v>
      </c>
    </row>
    <row r="120" spans="5:5" x14ac:dyDescent="0.35">
      <c r="E120" s="30">
        <f t="shared" ca="1" si="2"/>
        <v>46245</v>
      </c>
    </row>
    <row r="121" spans="5:5" x14ac:dyDescent="0.35">
      <c r="E121" s="30">
        <f t="shared" ca="1" si="2"/>
        <v>46246</v>
      </c>
    </row>
    <row r="122" spans="5:5" x14ac:dyDescent="0.35">
      <c r="E122" s="30">
        <f t="shared" ca="1" si="2"/>
        <v>46247</v>
      </c>
    </row>
    <row r="123" spans="5:5" x14ac:dyDescent="0.35">
      <c r="E123" s="30">
        <f t="shared" ca="1" si="2"/>
        <v>46248</v>
      </c>
    </row>
    <row r="124" spans="5:5" x14ac:dyDescent="0.35">
      <c r="E124" s="30">
        <f t="shared" ca="1" si="2"/>
        <v>46249</v>
      </c>
    </row>
    <row r="125" spans="5:5" x14ac:dyDescent="0.35">
      <c r="E125" s="30">
        <f t="shared" ca="1" si="2"/>
        <v>46250</v>
      </c>
    </row>
    <row r="126" spans="5:5" x14ac:dyDescent="0.35">
      <c r="E126" s="30">
        <f t="shared" ca="1" si="2"/>
        <v>46251</v>
      </c>
    </row>
    <row r="127" spans="5:5" x14ac:dyDescent="0.35">
      <c r="E127" s="30">
        <f t="shared" ca="1" si="2"/>
        <v>46252</v>
      </c>
    </row>
    <row r="128" spans="5:5" x14ac:dyDescent="0.35">
      <c r="E128" s="30">
        <f t="shared" ca="1" si="2"/>
        <v>46253</v>
      </c>
    </row>
    <row r="129" spans="5:5" x14ac:dyDescent="0.35">
      <c r="E129" s="30">
        <f t="shared" ca="1" si="2"/>
        <v>46254</v>
      </c>
    </row>
    <row r="130" spans="5:5" x14ac:dyDescent="0.35">
      <c r="E130" s="30">
        <f t="shared" ca="1" si="2"/>
        <v>46255</v>
      </c>
    </row>
    <row r="131" spans="5:5" x14ac:dyDescent="0.35">
      <c r="E131" s="30">
        <f t="shared" ca="1" si="2"/>
        <v>46256</v>
      </c>
    </row>
    <row r="132" spans="5:5" x14ac:dyDescent="0.35">
      <c r="E132" s="30">
        <f t="shared" ref="E132:E180" ca="1" si="3">E131+1</f>
        <v>46257</v>
      </c>
    </row>
    <row r="133" spans="5:5" x14ac:dyDescent="0.35">
      <c r="E133" s="30">
        <f t="shared" ca="1" si="3"/>
        <v>46258</v>
      </c>
    </row>
    <row r="134" spans="5:5" x14ac:dyDescent="0.35">
      <c r="E134" s="30">
        <f t="shared" ca="1" si="3"/>
        <v>46259</v>
      </c>
    </row>
    <row r="135" spans="5:5" x14ac:dyDescent="0.35">
      <c r="E135" s="30">
        <f t="shared" ca="1" si="3"/>
        <v>46260</v>
      </c>
    </row>
    <row r="136" spans="5:5" x14ac:dyDescent="0.35">
      <c r="E136" s="30">
        <f t="shared" ca="1" si="3"/>
        <v>46261</v>
      </c>
    </row>
    <row r="137" spans="5:5" x14ac:dyDescent="0.35">
      <c r="E137" s="30">
        <f t="shared" ca="1" si="3"/>
        <v>46262</v>
      </c>
    </row>
    <row r="138" spans="5:5" x14ac:dyDescent="0.35">
      <c r="E138" s="30">
        <f t="shared" ca="1" si="3"/>
        <v>46263</v>
      </c>
    </row>
    <row r="139" spans="5:5" x14ac:dyDescent="0.35">
      <c r="E139" s="30">
        <f t="shared" ca="1" si="3"/>
        <v>46264</v>
      </c>
    </row>
    <row r="140" spans="5:5" x14ac:dyDescent="0.35">
      <c r="E140" s="30">
        <f t="shared" ca="1" si="3"/>
        <v>46265</v>
      </c>
    </row>
    <row r="141" spans="5:5" x14ac:dyDescent="0.35">
      <c r="E141" s="30">
        <f t="shared" ca="1" si="3"/>
        <v>46266</v>
      </c>
    </row>
    <row r="142" spans="5:5" x14ac:dyDescent="0.35">
      <c r="E142" s="30">
        <f t="shared" ca="1" si="3"/>
        <v>46267</v>
      </c>
    </row>
    <row r="143" spans="5:5" x14ac:dyDescent="0.35">
      <c r="E143" s="30">
        <f t="shared" ca="1" si="3"/>
        <v>46268</v>
      </c>
    </row>
    <row r="144" spans="5:5" x14ac:dyDescent="0.35">
      <c r="E144" s="30">
        <f t="shared" ca="1" si="3"/>
        <v>46269</v>
      </c>
    </row>
    <row r="145" spans="5:5" x14ac:dyDescent="0.35">
      <c r="E145" s="30">
        <f t="shared" ca="1" si="3"/>
        <v>46270</v>
      </c>
    </row>
    <row r="146" spans="5:5" x14ac:dyDescent="0.35">
      <c r="E146" s="30">
        <f t="shared" ca="1" si="3"/>
        <v>46271</v>
      </c>
    </row>
    <row r="147" spans="5:5" x14ac:dyDescent="0.35">
      <c r="E147" s="30">
        <f t="shared" ca="1" si="3"/>
        <v>46272</v>
      </c>
    </row>
    <row r="148" spans="5:5" x14ac:dyDescent="0.35">
      <c r="E148" s="30">
        <f t="shared" ca="1" si="3"/>
        <v>46273</v>
      </c>
    </row>
    <row r="149" spans="5:5" x14ac:dyDescent="0.35">
      <c r="E149" s="30">
        <f t="shared" ca="1" si="3"/>
        <v>46274</v>
      </c>
    </row>
    <row r="150" spans="5:5" x14ac:dyDescent="0.35">
      <c r="E150" s="30">
        <f t="shared" ca="1" si="3"/>
        <v>46275</v>
      </c>
    </row>
    <row r="151" spans="5:5" x14ac:dyDescent="0.35">
      <c r="E151" s="30">
        <f t="shared" ca="1" si="3"/>
        <v>46276</v>
      </c>
    </row>
    <row r="152" spans="5:5" x14ac:dyDescent="0.35">
      <c r="E152" s="30">
        <f t="shared" ca="1" si="3"/>
        <v>46277</v>
      </c>
    </row>
    <row r="153" spans="5:5" x14ac:dyDescent="0.35">
      <c r="E153" s="30">
        <f t="shared" ca="1" si="3"/>
        <v>46278</v>
      </c>
    </row>
    <row r="154" spans="5:5" x14ac:dyDescent="0.35">
      <c r="E154" s="30">
        <f t="shared" ca="1" si="3"/>
        <v>46279</v>
      </c>
    </row>
    <row r="155" spans="5:5" x14ac:dyDescent="0.35">
      <c r="E155" s="30">
        <f t="shared" ca="1" si="3"/>
        <v>46280</v>
      </c>
    </row>
    <row r="156" spans="5:5" x14ac:dyDescent="0.35">
      <c r="E156" s="30">
        <f t="shared" ca="1" si="3"/>
        <v>46281</v>
      </c>
    </row>
    <row r="157" spans="5:5" x14ac:dyDescent="0.35">
      <c r="E157" s="30">
        <f t="shared" ca="1" si="3"/>
        <v>46282</v>
      </c>
    </row>
    <row r="158" spans="5:5" x14ac:dyDescent="0.35">
      <c r="E158" s="30">
        <f t="shared" ca="1" si="3"/>
        <v>46283</v>
      </c>
    </row>
    <row r="159" spans="5:5" x14ac:dyDescent="0.35">
      <c r="E159" s="30">
        <f t="shared" ca="1" si="3"/>
        <v>46284</v>
      </c>
    </row>
    <row r="160" spans="5:5" x14ac:dyDescent="0.35">
      <c r="E160" s="30">
        <f t="shared" ca="1" si="3"/>
        <v>46285</v>
      </c>
    </row>
    <row r="161" spans="5:5" x14ac:dyDescent="0.35">
      <c r="E161" s="30">
        <f t="shared" ca="1" si="3"/>
        <v>46286</v>
      </c>
    </row>
    <row r="162" spans="5:5" x14ac:dyDescent="0.35">
      <c r="E162" s="30">
        <f t="shared" ca="1" si="3"/>
        <v>46287</v>
      </c>
    </row>
    <row r="163" spans="5:5" x14ac:dyDescent="0.35">
      <c r="E163" s="30">
        <f t="shared" ca="1" si="3"/>
        <v>46288</v>
      </c>
    </row>
    <row r="164" spans="5:5" x14ac:dyDescent="0.35">
      <c r="E164" s="30">
        <f t="shared" ca="1" si="3"/>
        <v>46289</v>
      </c>
    </row>
    <row r="165" spans="5:5" x14ac:dyDescent="0.35">
      <c r="E165" s="30">
        <f t="shared" ca="1" si="3"/>
        <v>46290</v>
      </c>
    </row>
    <row r="166" spans="5:5" x14ac:dyDescent="0.35">
      <c r="E166" s="30">
        <f t="shared" ca="1" si="3"/>
        <v>46291</v>
      </c>
    </row>
    <row r="167" spans="5:5" x14ac:dyDescent="0.35">
      <c r="E167" s="30">
        <f t="shared" ca="1" si="3"/>
        <v>46292</v>
      </c>
    </row>
    <row r="168" spans="5:5" x14ac:dyDescent="0.35">
      <c r="E168" s="30">
        <f t="shared" ca="1" si="3"/>
        <v>46293</v>
      </c>
    </row>
    <row r="169" spans="5:5" x14ac:dyDescent="0.35">
      <c r="E169" s="30">
        <f t="shared" ca="1" si="3"/>
        <v>46294</v>
      </c>
    </row>
    <row r="170" spans="5:5" x14ac:dyDescent="0.35">
      <c r="E170" s="30">
        <f t="shared" ca="1" si="3"/>
        <v>46295</v>
      </c>
    </row>
    <row r="171" spans="5:5" x14ac:dyDescent="0.35">
      <c r="E171" s="30">
        <f t="shared" ca="1" si="3"/>
        <v>46296</v>
      </c>
    </row>
    <row r="172" spans="5:5" x14ac:dyDescent="0.35">
      <c r="E172" s="30">
        <f t="shared" ca="1" si="3"/>
        <v>46297</v>
      </c>
    </row>
    <row r="173" spans="5:5" x14ac:dyDescent="0.35">
      <c r="E173" s="30">
        <f t="shared" ca="1" si="3"/>
        <v>46298</v>
      </c>
    </row>
    <row r="174" spans="5:5" x14ac:dyDescent="0.35">
      <c r="E174" s="30">
        <f t="shared" ca="1" si="3"/>
        <v>46299</v>
      </c>
    </row>
    <row r="175" spans="5:5" x14ac:dyDescent="0.35">
      <c r="E175" s="30">
        <f t="shared" ca="1" si="3"/>
        <v>46300</v>
      </c>
    </row>
    <row r="176" spans="5:5" x14ac:dyDescent="0.35">
      <c r="E176" s="30">
        <f t="shared" ca="1" si="3"/>
        <v>46301</v>
      </c>
    </row>
    <row r="177" spans="5:5" x14ac:dyDescent="0.35">
      <c r="E177" s="30">
        <f t="shared" ca="1" si="3"/>
        <v>46302</v>
      </c>
    </row>
    <row r="178" spans="5:5" x14ac:dyDescent="0.35">
      <c r="E178" s="30">
        <f t="shared" ca="1" si="3"/>
        <v>46303</v>
      </c>
    </row>
    <row r="179" spans="5:5" x14ac:dyDescent="0.35">
      <c r="E179" s="30">
        <f t="shared" ca="1" si="3"/>
        <v>46304</v>
      </c>
    </row>
    <row r="180" spans="5:5" x14ac:dyDescent="0.35">
      <c r="E180" s="30">
        <f t="shared" ca="1" si="3"/>
        <v>46305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AÉREO REGULAR</vt:lpstr>
      <vt:lpstr>PROPOSTA</vt:lpstr>
      <vt:lpstr>FICHA DE VOO</vt:lpstr>
      <vt:lpstr>DADOS</vt:lpstr>
      <vt:lpstr>PROPOSTA!Area_de_impressao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Italo Medeiros Azevedo</dc:creator>
  <cp:keywords/>
  <dc:description/>
  <cp:lastModifiedBy>Thamires Klein</cp:lastModifiedBy>
  <cp:revision/>
  <dcterms:created xsi:type="dcterms:W3CDTF">2022-07-06T03:37:13Z</dcterms:created>
  <dcterms:modified xsi:type="dcterms:W3CDTF">2026-04-15T20:24:14Z</dcterms:modified>
  <cp:category/>
  <cp:contentStatus/>
</cp:coreProperties>
</file>